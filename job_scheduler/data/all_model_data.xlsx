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tiazevan/Desktop/Projects/temp/mpr_implementation/"/>
    </mc:Choice>
  </mc:AlternateContent>
  <xr:revisionPtr revIDLastSave="0" documentId="13_ncr:1_{CB98A000-F913-864C-ADF5-2325DC0645AB}" xr6:coauthVersionLast="47" xr6:coauthVersionMax="47" xr10:uidLastSave="{00000000-0000-0000-0000-000000000000}"/>
  <bookViews>
    <workbookView xWindow="0" yWindow="500" windowWidth="28800" windowHeight="16300" xr2:uid="{15444B7F-6FA5-5E4D-9AAE-4CEB8B7D2F02}"/>
  </bookViews>
  <sheets>
    <sheet name="comd" sheetId="2" r:id="rId1"/>
    <sheet name="xsbench" sheetId="7" r:id="rId2"/>
    <sheet name="minife" sheetId="6" r:id="rId3"/>
    <sheet name="swfft" sheetId="5" r:id="rId4"/>
    <sheet name="simple_moc" sheetId="4" r:id="rId5"/>
    <sheet name="minimd" sheetId="3" r:id="rId6"/>
    <sheet name="hpccg" sheetId="8" r:id="rId7"/>
    <sheet name="rsbench" sheetId="9" r:id="rId8"/>
    <sheet name="aspa" sheetId="10" r:id="rId9"/>
    <sheet name="cohmm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" i="6"/>
  <c r="A15" i="7"/>
  <c r="F3" i="7"/>
  <c r="F4" i="7"/>
  <c r="F5" i="7"/>
  <c r="F6" i="7"/>
  <c r="F7" i="7"/>
  <c r="F8" i="7"/>
  <c r="F9" i="7"/>
  <c r="F10" i="7"/>
  <c r="F11" i="7"/>
  <c r="F12" i="7"/>
  <c r="F16" i="7"/>
  <c r="F17" i="7"/>
  <c r="F18" i="7"/>
  <c r="F19" i="7"/>
  <c r="F2" i="7"/>
  <c r="G3" i="7"/>
  <c r="G4" i="7"/>
  <c r="G5" i="7"/>
  <c r="G6" i="7"/>
  <c r="G7" i="7"/>
  <c r="G8" i="7"/>
  <c r="G9" i="7"/>
  <c r="G10" i="7"/>
  <c r="G11" i="7"/>
  <c r="G12" i="7"/>
  <c r="G16" i="7"/>
  <c r="G17" i="7"/>
  <c r="G18" i="7"/>
  <c r="G19" i="7"/>
  <c r="G2" i="7"/>
  <c r="E3" i="7"/>
  <c r="E4" i="7"/>
  <c r="E5" i="7"/>
  <c r="E6" i="7"/>
  <c r="E7" i="7"/>
  <c r="E8" i="7"/>
  <c r="E9" i="7"/>
  <c r="E10" i="7"/>
  <c r="E11" i="7"/>
  <c r="E12" i="7"/>
  <c r="E13" i="7"/>
  <c r="E14" i="7"/>
  <c r="E16" i="7"/>
  <c r="E17" i="7"/>
  <c r="E18" i="7"/>
  <c r="E19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E15" i="7" s="1"/>
  <c r="D16" i="7"/>
  <c r="D17" i="7"/>
  <c r="D18" i="7"/>
  <c r="D19" i="7"/>
  <c r="D2" i="7"/>
  <c r="A3" i="7"/>
  <c r="A4" i="7"/>
  <c r="A5" i="7"/>
  <c r="A6" i="7"/>
  <c r="A7" i="7"/>
  <c r="A8" i="7"/>
  <c r="A9" i="7"/>
  <c r="A10" i="7"/>
  <c r="A11" i="7"/>
  <c r="A12" i="7"/>
  <c r="A13" i="7"/>
  <c r="G13" i="7" s="1"/>
  <c r="F13" i="7" s="1"/>
  <c r="A14" i="7"/>
  <c r="G14" i="7" s="1"/>
  <c r="F14" i="7" s="1"/>
  <c r="G15" i="7"/>
  <c r="A16" i="7"/>
  <c r="A17" i="7"/>
  <c r="A18" i="7"/>
  <c r="A19" i="7"/>
  <c r="A2" i="7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D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E21" i="2" s="1"/>
  <c r="D3" i="2"/>
  <c r="E3" i="2" s="1"/>
  <c r="F15" i="7" l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</calcChain>
</file>

<file path=xl/sharedStrings.xml><?xml version="1.0" encoding="utf-8"?>
<sst xmlns="http://schemas.openxmlformats.org/spreadsheetml/2006/main" count="34" uniqueCount="12">
  <si>
    <t>Resource</t>
  </si>
  <si>
    <t>Power</t>
  </si>
  <si>
    <t>Execution Time</t>
  </si>
  <si>
    <t>Extra Execution</t>
  </si>
  <si>
    <t>Unit Cost</t>
  </si>
  <si>
    <t>Resource Reduction</t>
  </si>
  <si>
    <t>Performance</t>
  </si>
  <si>
    <t>Cost</t>
  </si>
  <si>
    <t>cost/dp</t>
  </si>
  <si>
    <t>dp</t>
  </si>
  <si>
    <t>Performacne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</si>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</sst>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comd!$A$2:$A$21</c:f>
              <c:numCache>
                <c:formatCode>General</c:formatCode>
                <c:ptCount val="20"/>
                <c:pt idx="0">
                  <c:v>0.31154924399099221</c:v>
                </c:pt>
                <c:pt idx="1">
                  <c:v>0.33728572085114206</c:v>
                </c:pt>
                <c:pt idx="2">
                  <c:v>0.36302219771128885</c:v>
                </c:pt>
                <c:pt idx="3">
                  <c:v>0.38140539546854019</c:v>
                </c:pt>
                <c:pt idx="4">
                  <c:v>0.41357599154372587</c:v>
                </c:pt>
                <c:pt idx="5">
                  <c:v>0.44850406728250314</c:v>
                </c:pt>
                <c:pt idx="6">
                  <c:v>0.49630038145135191</c:v>
                </c:pt>
                <c:pt idx="7">
                  <c:v>0.51927937864791351</c:v>
                </c:pt>
                <c:pt idx="8">
                  <c:v>0.55512661427455023</c:v>
                </c:pt>
                <c:pt idx="9">
                  <c:v>0.5928121696769123</c:v>
                </c:pt>
                <c:pt idx="10">
                  <c:v>0.62406360586423848</c:v>
                </c:pt>
                <c:pt idx="11">
                  <c:v>0.66542580081805158</c:v>
                </c:pt>
                <c:pt idx="12">
                  <c:v>0.72333287375338706</c:v>
                </c:pt>
                <c:pt idx="13">
                  <c:v>0.77664414724941233</c:v>
                </c:pt>
                <c:pt idx="14">
                  <c:v>0.82444046141826111</c:v>
                </c:pt>
                <c:pt idx="15">
                  <c:v>0.86396433659634864</c:v>
                </c:pt>
                <c:pt idx="16">
                  <c:v>0.90348821177443617</c:v>
                </c:pt>
                <c:pt idx="17">
                  <c:v>0.94760788639183746</c:v>
                </c:pt>
                <c:pt idx="18">
                  <c:v>0.97702100280343496</c:v>
                </c:pt>
                <c:pt idx="19">
                  <c:v>1</c:v>
                </c:pt>
              </c:numCache>
            </c:numRef>
          </c:xVal>
          <c:yVal>
            <c:numRef>
              <c:f>comd!$E$2:$E$21</c:f>
              <c:numCache>
                <c:formatCode>General</c:formatCode>
                <c:ptCount val="20"/>
                <c:pt idx="0">
                  <c:v>0.43836334444259328</c:v>
                </c:pt>
                <c:pt idx="1">
                  <c:v>0.31393995794421004</c:v>
                </c:pt>
                <c:pt idx="2">
                  <c:v>0.23133358171421603</c:v>
                </c:pt>
                <c:pt idx="3">
                  <c:v>0.18023862975228189</c:v>
                </c:pt>
                <c:pt idx="4">
                  <c:v>0.13758249361133934</c:v>
                </c:pt>
                <c:pt idx="5">
                  <c:v>8.3099867941336947E-2</c:v>
                </c:pt>
                <c:pt idx="6">
                  <c:v>5.3309240090529175E-2</c:v>
                </c:pt>
                <c:pt idx="7">
                  <c:v>3.7195320011283228E-2</c:v>
                </c:pt>
                <c:pt idx="8">
                  <c:v>-4.0200687690117309E-4</c:v>
                </c:pt>
                <c:pt idx="9">
                  <c:v>6.6771763876338763E-4</c:v>
                </c:pt>
                <c:pt idx="10">
                  <c:v>5.1675414237398742E-3</c:v>
                </c:pt>
                <c:pt idx="11">
                  <c:v>-1.7111669803342444E-3</c:v>
                </c:pt>
                <c:pt idx="12">
                  <c:v>3.8619015515498623E-3</c:v>
                </c:pt>
                <c:pt idx="13">
                  <c:v>-5.2619795610396869E-3</c:v>
                </c:pt>
                <c:pt idx="14">
                  <c:v>4.8358684788261108E-3</c:v>
                </c:pt>
                <c:pt idx="15">
                  <c:v>-6.5212208372764646E-3</c:v>
                </c:pt>
                <c:pt idx="16">
                  <c:v>5.8483118408231283E-3</c:v>
                </c:pt>
                <c:pt idx="17">
                  <c:v>8.5863794988760844E-5</c:v>
                </c:pt>
                <c:pt idx="18">
                  <c:v>-5.5867716866058181E-3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D2-4333-86B3-3FAAE65A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935247"/>
        <c:axId val="1942936687"/>
      </c:scatterChart>
      <c:valAx>
        <c:axId val="194293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36687"/>
        <c:crosses val="autoZero"/>
        <c:crossBetween val="midCat"/>
      </c:valAx>
      <c:valAx>
        <c:axId val="1942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3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comd!$G$1</c:f>
              <c:strCache>
                <c:ptCount val="1"/>
                <c:pt idx="0">
                  <c:v>Resource Reduction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comd!$F$2:$F$20</c:f>
              <c:numCache>
                <c:formatCode>General</c:formatCode>
                <c:ptCount val="19"/>
                <c:pt idx="0">
                  <c:v>0.63673885258520602</c:v>
                </c:pt>
                <c:pt idx="1">
                  <c:v>0.47371841504216827</c:v>
                </c:pt>
                <c:pt idx="2">
                  <c:v>0.36317369440978375</c:v>
                </c:pt>
                <c:pt idx="3">
                  <c:v>0.29136793051856547</c:v>
                </c:pt>
                <c:pt idx="4">
                  <c:v>0.23461265505400597</c:v>
                </c:pt>
                <c:pt idx="5">
                  <c:v>0.15068083554462905</c:v>
                </c:pt>
                <c:pt idx="6">
                  <c:v>0.10583537911768437</c:v>
                </c:pt>
                <c:pt idx="7">
                  <c:v>7.7374088730928103E-2</c:v>
                </c:pt>
                <c:pt idx="8">
                  <c:v>-9.0364335067071998E-4</c:v>
                </c:pt>
                <c:pt idx="9">
                  <c:v>1.6398270995318786E-3</c:v>
                </c:pt>
                <c:pt idx="10">
                  <c:v>1.3745786532904088E-2</c:v>
                </c:pt>
                <c:pt idx="11">
                  <c:v>-5.1144618578424098E-3</c:v>
                </c:pt>
                <c:pt idx="12">
                  <c:v>1.3958657119630024E-2</c:v>
                </c:pt>
                <c:pt idx="13">
                  <c:v>-2.355872701001269E-2</c:v>
                </c:pt>
                <c:pt idx="14">
                  <c:v>2.7545461316957013E-2</c:v>
                </c:pt>
                <c:pt idx="15">
                  <c:v>-4.793758249942439E-2</c:v>
                </c:pt>
                <c:pt idx="16">
                  <c:v>6.0596865402127532E-2</c:v>
                </c:pt>
                <c:pt idx="17">
                  <c:v>1.6388686975091517E-3</c:v>
                </c:pt>
                <c:pt idx="18">
                  <c:v>-0.24312513025768343</c:v>
                </c:pt>
              </c:numCache>
            </c:numRef>
          </c:xVal>
          <c:yVal>
            <c:numRef>
              <c:f>comd!$G$2:$G$20</c:f>
              <c:numCache>
                <c:formatCode>General</c:formatCode>
                <c:ptCount val="19"/>
                <c:pt idx="0">
                  <c:v>0.68845075600900785</c:v>
                </c:pt>
                <c:pt idx="1">
                  <c:v>0.66271427914885794</c:v>
                </c:pt>
                <c:pt idx="2">
                  <c:v>0.63697780228871115</c:v>
                </c:pt>
                <c:pt idx="3">
                  <c:v>0.61859460453145987</c:v>
                </c:pt>
                <c:pt idx="4">
                  <c:v>0.58642400845627418</c:v>
                </c:pt>
                <c:pt idx="5">
                  <c:v>0.55149593271749686</c:v>
                </c:pt>
                <c:pt idx="6">
                  <c:v>0.50369961854864809</c:v>
                </c:pt>
                <c:pt idx="7">
                  <c:v>0.48072062135208649</c:v>
                </c:pt>
                <c:pt idx="8">
                  <c:v>0.44487338572544977</c:v>
                </c:pt>
                <c:pt idx="9">
                  <c:v>0.4071878303230877</c:v>
                </c:pt>
                <c:pt idx="10">
                  <c:v>0.37593639413576152</c:v>
                </c:pt>
                <c:pt idx="11">
                  <c:v>0.33457419918194842</c:v>
                </c:pt>
                <c:pt idx="12">
                  <c:v>0.27666712624661294</c:v>
                </c:pt>
                <c:pt idx="13">
                  <c:v>0.22335585275058767</c:v>
                </c:pt>
                <c:pt idx="14">
                  <c:v>0.17555953858173889</c:v>
                </c:pt>
                <c:pt idx="15">
                  <c:v>0.13603566340365136</c:v>
                </c:pt>
                <c:pt idx="16">
                  <c:v>9.6511788225563833E-2</c:v>
                </c:pt>
                <c:pt idx="17">
                  <c:v>5.2392113608162538E-2</c:v>
                </c:pt>
                <c:pt idx="18">
                  <c:v>2.2978997196565043E-2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C-49B2-9512-4D5D6E3F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925167"/>
        <c:axId val="1942917007"/>
      </c:scatterChart>
      <c:valAx>
        <c:axId val="194292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Cost of Resource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17007"/>
        <c:crosses val="autoZero"/>
        <c:crossBetween val="midCat"/>
      </c:valAx>
      <c:valAx>
        <c:axId val="19429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2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</xdr:row>
      <xdr:rowOff>132555</xdr:rowOff>
    </xdr:from>
    <xdr:to>
      <xdr:col>16</xdr:col>
      <xdr:colOff>442913</xdr:colOff>
      <xdr:row>28</xdr:row>
      <xdr:rowOff>120649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9B81C934-3AB1-4B9F-B086-E14679F75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11113</xdr:colOff>
      <xdr:row>1</xdr:row>
      <xdr:rowOff>73818</xdr:rowOff>
    </xdr:from>
    <xdr:to>
      <xdr:col>26</xdr:col>
      <xdr:colOff>44450</xdr:colOff>
      <xdr:row>27</xdr:row>
      <xdr:rowOff>33337</xdr:rowOff>
    </xdr:to>
    <xdr:graphicFrame macro="">
      <xdr:nvGraphicFramePr>
        <xdr:cNvPr id="62" name="Chart 2">
          <a:extLst>
            <a:ext uri="{FF2B5EF4-FFF2-40B4-BE49-F238E27FC236}">
              <a16:creationId xmlns:a16="http://schemas.microsoft.com/office/drawing/2014/main" id="{5610EA7E-4CC4-B3DA-D896-FC45C0E73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E1AA-8B6F-5143-A3C0-8630B1704DF7}">
  <dimension ref="A1:G21"/>
  <sheetViews>
    <sheetView tabSelected="1" workbookViewId="0">
      <selection activeCell="C2" sqref="C2"/>
    </sheetView>
  </sheetViews>
  <sheetFormatPr baseColWidth="10" defaultColWidth="11" defaultRowHeight="15.75" customHeight="1" x14ac:dyDescent="0.2"/>
  <cols>
    <col min="3" max="3" width="13.6640625" customWidth="1"/>
    <col min="4" max="4" width="14.83203125" customWidth="1"/>
    <col min="5" max="5" width="15.6640625" customWidth="1"/>
    <col min="7" max="7" width="17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f t="shared" ref="A2:A21" si="0">B2/$B$21</f>
        <v>0.31154924399099221</v>
      </c>
      <c r="B2">
        <v>90.266311584553904</v>
      </c>
      <c r="C2">
        <v>69.771580749476797</v>
      </c>
      <c r="D2">
        <f t="shared" ref="D2:D21" si="1">1/C2*100</f>
        <v>1.4332483072020679</v>
      </c>
      <c r="E2">
        <f t="shared" ref="E2:E21" si="2">D2-$D$21</f>
        <v>0.43836334444259328</v>
      </c>
      <c r="F2">
        <f>IFERROR(E2/G2,0)</f>
        <v>0.63673885258520602</v>
      </c>
      <c r="G2">
        <f t="shared" ref="G2:G21" si="3">$A$21-A2</f>
        <v>0.68845075600900785</v>
      </c>
    </row>
    <row r="3" spans="1:7" x14ac:dyDescent="0.2">
      <c r="A3">
        <f t="shared" si="0"/>
        <v>0.33728572085114206</v>
      </c>
      <c r="B3">
        <v>97.723035952063896</v>
      </c>
      <c r="C3">
        <v>76.404413163401102</v>
      </c>
      <c r="D3">
        <f t="shared" si="1"/>
        <v>1.3088249207036846</v>
      </c>
      <c r="E3">
        <f t="shared" si="2"/>
        <v>0.31393995794421004</v>
      </c>
      <c r="F3">
        <f t="shared" ref="F3:F21" si="4">IFERROR(E3/G3,0)</f>
        <v>0.47371841504216827</v>
      </c>
      <c r="G3">
        <f t="shared" si="3"/>
        <v>0.66271427914885794</v>
      </c>
    </row>
    <row r="4" spans="1:7" x14ac:dyDescent="0.2">
      <c r="A4">
        <f t="shared" si="0"/>
        <v>0.36302219771128885</v>
      </c>
      <c r="B4">
        <v>105.17976031957301</v>
      </c>
      <c r="C4">
        <v>81.551531291611099</v>
      </c>
      <c r="D4">
        <f t="shared" si="1"/>
        <v>1.2262185444736906</v>
      </c>
      <c r="E4">
        <f t="shared" si="2"/>
        <v>0.23133358171421603</v>
      </c>
      <c r="F4">
        <f t="shared" si="4"/>
        <v>0.36317369440978375</v>
      </c>
      <c r="G4">
        <f t="shared" si="3"/>
        <v>0.63697780228871115</v>
      </c>
    </row>
    <row r="5" spans="1:7" x14ac:dyDescent="0.2">
      <c r="A5">
        <f t="shared" si="0"/>
        <v>0.38140539546854019</v>
      </c>
      <c r="B5">
        <v>110.50599201065199</v>
      </c>
      <c r="C5">
        <v>85.097431995434604</v>
      </c>
      <c r="D5">
        <f t="shared" si="1"/>
        <v>1.1751235925117565</v>
      </c>
      <c r="E5">
        <f t="shared" si="2"/>
        <v>0.18023862975228189</v>
      </c>
      <c r="F5">
        <f t="shared" si="4"/>
        <v>0.29136793051856547</v>
      </c>
      <c r="G5">
        <f t="shared" si="3"/>
        <v>0.61859460453145987</v>
      </c>
    </row>
    <row r="6" spans="1:7" x14ac:dyDescent="0.2">
      <c r="A6">
        <f t="shared" si="0"/>
        <v>0.41357599154372587</v>
      </c>
      <c r="B6">
        <v>119.826897470039</v>
      </c>
      <c r="C6">
        <v>88.302758227125693</v>
      </c>
      <c r="D6">
        <f t="shared" si="1"/>
        <v>1.1324674563708139</v>
      </c>
      <c r="E6">
        <f t="shared" si="2"/>
        <v>0.13758249361133934</v>
      </c>
      <c r="F6">
        <f t="shared" si="4"/>
        <v>0.23461265505400597</v>
      </c>
      <c r="G6">
        <f t="shared" si="3"/>
        <v>0.58642400845627418</v>
      </c>
    </row>
    <row r="7" spans="1:7" x14ac:dyDescent="0.2">
      <c r="A7">
        <f t="shared" si="0"/>
        <v>0.44850406728250314</v>
      </c>
      <c r="B7">
        <v>129.946737683089</v>
      </c>
      <c r="C7">
        <v>92.765683850104594</v>
      </c>
      <c r="D7">
        <f t="shared" si="1"/>
        <v>1.0779848307008115</v>
      </c>
      <c r="E7">
        <f t="shared" si="2"/>
        <v>8.3099867941336947E-2</v>
      </c>
      <c r="F7">
        <f t="shared" si="4"/>
        <v>0.15068083554462905</v>
      </c>
      <c r="G7">
        <f t="shared" si="3"/>
        <v>0.55149593271749686</v>
      </c>
    </row>
    <row r="8" spans="1:7" x14ac:dyDescent="0.2">
      <c r="A8">
        <f t="shared" si="0"/>
        <v>0.49630038145135191</v>
      </c>
      <c r="B8">
        <v>143.794940079893</v>
      </c>
      <c r="C8">
        <v>95.402168537188501</v>
      </c>
      <c r="D8">
        <f t="shared" si="1"/>
        <v>1.0481942028500038</v>
      </c>
      <c r="E8">
        <f t="shared" si="2"/>
        <v>5.3309240090529175E-2</v>
      </c>
      <c r="F8">
        <f t="shared" si="4"/>
        <v>0.10583537911768437</v>
      </c>
      <c r="G8">
        <f t="shared" si="3"/>
        <v>0.50369961854864809</v>
      </c>
    </row>
    <row r="9" spans="1:7" x14ac:dyDescent="0.2">
      <c r="A9">
        <f t="shared" si="0"/>
        <v>0.51927937864791351</v>
      </c>
      <c r="B9">
        <v>150.45272969374099</v>
      </c>
      <c r="C9">
        <v>96.891687274110694</v>
      </c>
      <c r="D9">
        <f t="shared" si="1"/>
        <v>1.0320802827707578</v>
      </c>
      <c r="E9">
        <f t="shared" si="2"/>
        <v>3.7195320011283228E-2</v>
      </c>
      <c r="F9">
        <f t="shared" si="4"/>
        <v>7.7374088730928103E-2</v>
      </c>
      <c r="G9">
        <f t="shared" si="3"/>
        <v>0.48072062135208649</v>
      </c>
    </row>
    <row r="10" spans="1:7" x14ac:dyDescent="0.2">
      <c r="A10">
        <f t="shared" si="0"/>
        <v>0.55512661427455023</v>
      </c>
      <c r="B10">
        <v>160.83888149134401</v>
      </c>
      <c r="C10">
        <v>100.554765075137</v>
      </c>
      <c r="D10">
        <f t="shared" si="1"/>
        <v>0.99448295588257341</v>
      </c>
      <c r="E10">
        <f t="shared" si="2"/>
        <v>-4.0200687690117309E-4</v>
      </c>
      <c r="F10">
        <f t="shared" si="4"/>
        <v>-9.0364335067071998E-4</v>
      </c>
      <c r="G10">
        <f t="shared" si="3"/>
        <v>0.44487338572544977</v>
      </c>
    </row>
    <row r="11" spans="1:7" x14ac:dyDescent="0.2">
      <c r="A11">
        <f t="shared" si="0"/>
        <v>0.5928121696769123</v>
      </c>
      <c r="B11">
        <v>171.75765645805501</v>
      </c>
      <c r="C11">
        <v>100.446718660833</v>
      </c>
      <c r="D11">
        <f t="shared" si="1"/>
        <v>0.99555268039823797</v>
      </c>
      <c r="E11">
        <f t="shared" si="2"/>
        <v>6.6771763876338763E-4</v>
      </c>
      <c r="F11">
        <f t="shared" si="4"/>
        <v>1.6398270995318786E-3</v>
      </c>
      <c r="G11">
        <f t="shared" si="3"/>
        <v>0.4071878303230877</v>
      </c>
    </row>
    <row r="12" spans="1:7" x14ac:dyDescent="0.2">
      <c r="A12">
        <f t="shared" si="0"/>
        <v>0.62406360586423848</v>
      </c>
      <c r="B12">
        <v>180.81225033288899</v>
      </c>
      <c r="C12">
        <v>99.994749857333005</v>
      </c>
      <c r="D12">
        <f t="shared" si="1"/>
        <v>1.0000525041832145</v>
      </c>
      <c r="E12">
        <f t="shared" si="2"/>
        <v>5.1675414237398742E-3</v>
      </c>
      <c r="F12">
        <f t="shared" si="4"/>
        <v>1.3745786532904088E-2</v>
      </c>
      <c r="G12">
        <f t="shared" si="3"/>
        <v>0.37593639413576152</v>
      </c>
    </row>
    <row r="13" spans="1:7" x14ac:dyDescent="0.2">
      <c r="A13">
        <f t="shared" si="0"/>
        <v>0.66542580081805158</v>
      </c>
      <c r="B13">
        <v>192.79627163781601</v>
      </c>
      <c r="C13">
        <v>100.68731215522099</v>
      </c>
      <c r="D13">
        <f t="shared" si="1"/>
        <v>0.99317379577914033</v>
      </c>
      <c r="E13">
        <f t="shared" si="2"/>
        <v>-1.7111669803342444E-3</v>
      </c>
      <c r="F13">
        <f t="shared" si="4"/>
        <v>-5.1144618578424098E-3</v>
      </c>
      <c r="G13">
        <f t="shared" si="3"/>
        <v>0.33457419918194842</v>
      </c>
    </row>
    <row r="14" spans="1:7" x14ac:dyDescent="0.2">
      <c r="A14">
        <f t="shared" si="0"/>
        <v>0.72333287375338706</v>
      </c>
      <c r="B14">
        <v>209.573901464713</v>
      </c>
      <c r="C14">
        <v>100.125470800836</v>
      </c>
      <c r="D14">
        <f t="shared" si="1"/>
        <v>0.99874686431102444</v>
      </c>
      <c r="E14">
        <f t="shared" si="2"/>
        <v>3.8619015515498623E-3</v>
      </c>
      <c r="F14">
        <f t="shared" si="4"/>
        <v>1.3958657119630024E-2</v>
      </c>
      <c r="G14">
        <f t="shared" si="3"/>
        <v>0.27666712624661294</v>
      </c>
    </row>
    <row r="15" spans="1:7" x14ac:dyDescent="0.2">
      <c r="A15">
        <f t="shared" si="0"/>
        <v>0.77664414724941233</v>
      </c>
      <c r="B15">
        <v>225.01997336884099</v>
      </c>
      <c r="C15">
        <v>101.048582841925</v>
      </c>
      <c r="D15">
        <f t="shared" si="1"/>
        <v>0.98962298319843489</v>
      </c>
      <c r="E15">
        <f t="shared" si="2"/>
        <v>-5.2619795610396869E-3</v>
      </c>
      <c r="F15">
        <f t="shared" si="4"/>
        <v>-2.355872701001269E-2</v>
      </c>
      <c r="G15">
        <f t="shared" si="3"/>
        <v>0.22335585275058767</v>
      </c>
    </row>
    <row r="16" spans="1:7" x14ac:dyDescent="0.2">
      <c r="A16">
        <f t="shared" si="0"/>
        <v>0.82444046141826111</v>
      </c>
      <c r="B16">
        <v>238.86817576564499</v>
      </c>
      <c r="C16">
        <v>100.027924671866</v>
      </c>
      <c r="D16">
        <f t="shared" si="1"/>
        <v>0.99972083123830069</v>
      </c>
      <c r="E16">
        <f t="shared" si="2"/>
        <v>4.8358684788261108E-3</v>
      </c>
      <c r="F16">
        <f t="shared" si="4"/>
        <v>2.7545461316957013E-2</v>
      </c>
      <c r="G16">
        <f t="shared" si="3"/>
        <v>0.17555953858173889</v>
      </c>
    </row>
    <row r="17" spans="1:7" x14ac:dyDescent="0.2">
      <c r="A17">
        <f t="shared" si="0"/>
        <v>0.86396433659634864</v>
      </c>
      <c r="B17">
        <v>250.319573901464</v>
      </c>
      <c r="C17">
        <v>101.1773254708</v>
      </c>
      <c r="D17">
        <f t="shared" si="1"/>
        <v>0.98836374192219811</v>
      </c>
      <c r="E17">
        <f t="shared" si="2"/>
        <v>-6.5212208372764646E-3</v>
      </c>
      <c r="F17">
        <f t="shared" si="4"/>
        <v>-4.793758249942439E-2</v>
      </c>
      <c r="G17">
        <f t="shared" si="3"/>
        <v>0.13603566340365136</v>
      </c>
    </row>
    <row r="18" spans="1:7" x14ac:dyDescent="0.2">
      <c r="A18">
        <f t="shared" si="0"/>
        <v>0.90348821177443617</v>
      </c>
      <c r="B18">
        <v>261.770972037283</v>
      </c>
      <c r="C18">
        <v>99.926726269735497</v>
      </c>
      <c r="D18">
        <f t="shared" si="1"/>
        <v>1.0007332746002977</v>
      </c>
      <c r="E18">
        <f t="shared" si="2"/>
        <v>5.8483118408231283E-3</v>
      </c>
      <c r="F18">
        <f t="shared" si="4"/>
        <v>6.0596865402127532E-2</v>
      </c>
      <c r="G18">
        <f t="shared" si="3"/>
        <v>9.6511788225563833E-2</v>
      </c>
    </row>
    <row r="19" spans="1:7" x14ac:dyDescent="0.2">
      <c r="A19">
        <f t="shared" si="0"/>
        <v>0.94760788639183746</v>
      </c>
      <c r="B19">
        <v>274.55392809587198</v>
      </c>
      <c r="C19">
        <v>100.505459387483</v>
      </c>
      <c r="D19">
        <f t="shared" si="1"/>
        <v>0.99497082655446334</v>
      </c>
      <c r="E19">
        <f t="shared" si="2"/>
        <v>8.5863794988760844E-5</v>
      </c>
      <c r="F19">
        <f t="shared" si="4"/>
        <v>1.6388686975091517E-3</v>
      </c>
      <c r="G19">
        <f t="shared" si="3"/>
        <v>5.2392113608162538E-2</v>
      </c>
    </row>
    <row r="20" spans="1:7" x14ac:dyDescent="0.2">
      <c r="A20">
        <f t="shared" si="0"/>
        <v>0.97702100280343496</v>
      </c>
      <c r="B20">
        <v>283.07589880159702</v>
      </c>
      <c r="C20">
        <v>101.081757656458</v>
      </c>
      <c r="D20">
        <f t="shared" si="1"/>
        <v>0.98929819107286876</v>
      </c>
      <c r="E20">
        <f t="shared" si="2"/>
        <v>-5.5867716866058181E-3</v>
      </c>
      <c r="F20">
        <f t="shared" si="4"/>
        <v>-0.24312513025768343</v>
      </c>
      <c r="G20">
        <f t="shared" si="3"/>
        <v>2.2978997196565043E-2</v>
      </c>
    </row>
    <row r="21" spans="1:7" x14ac:dyDescent="0.2">
      <c r="A21">
        <f t="shared" si="0"/>
        <v>1</v>
      </c>
      <c r="B21">
        <v>289.73368841544601</v>
      </c>
      <c r="C21">
        <v>100.514133536237</v>
      </c>
      <c r="D21">
        <f t="shared" si="1"/>
        <v>0.99488496275947458</v>
      </c>
      <c r="E21">
        <f t="shared" si="2"/>
        <v>0</v>
      </c>
      <c r="F21">
        <f t="shared" si="4"/>
        <v>0</v>
      </c>
      <c r="G21">
        <f t="shared" si="3"/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82B9-671B-564E-9764-5E0AC9E36136}">
  <dimension ref="A1:G19"/>
  <sheetViews>
    <sheetView workbookViewId="0">
      <selection activeCell="C2" sqref="C2"/>
    </sheetView>
  </sheetViews>
  <sheetFormatPr baseColWidth="10" defaultColWidth="11" defaultRowHeight="16" x14ac:dyDescent="0.2"/>
  <cols>
    <col min="3" max="3" width="13.5" customWidth="1"/>
    <col min="4" max="4" width="13.6640625" customWidth="1"/>
    <col min="5" max="5" width="16.6640625" customWidth="1"/>
    <col min="6" max="6" width="13.5" customWidth="1"/>
    <col min="7" max="7" width="18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f>B2/$B$19</f>
        <v>0.31126314337931038</v>
      </c>
      <c r="B2">
        <v>90.266311580000007</v>
      </c>
      <c r="C2">
        <v>56.05729504</v>
      </c>
      <c r="D2">
        <f>1/C2*100</f>
        <v>1.7838891428607899</v>
      </c>
      <c r="E2">
        <f>D2-$D$19</f>
        <v>0.78560049511358188</v>
      </c>
      <c r="F2">
        <f>IFERROR(E2/G2,0)</f>
        <v>1.1406395455125735</v>
      </c>
      <c r="G2">
        <f>1-A2</f>
        <v>0.68873685662068962</v>
      </c>
    </row>
    <row r="3" spans="1:7" x14ac:dyDescent="0.2">
      <c r="A3">
        <f t="shared" ref="A3:A19" si="0">B3/$B$19</f>
        <v>0.35350567068965516</v>
      </c>
      <c r="B3">
        <v>102.5166445</v>
      </c>
      <c r="C3">
        <v>64.635723799999994</v>
      </c>
      <c r="D3">
        <f t="shared" ref="D3:D19" si="1">1/C3*100</f>
        <v>1.5471320520742742</v>
      </c>
      <c r="E3">
        <f t="shared" ref="E3:E19" si="2">D3-$D$19</f>
        <v>0.54884340432706613</v>
      </c>
      <c r="F3">
        <f t="shared" ref="F3:F19" si="3">IFERROR(E3/G3,0)</f>
        <v>0.84895316083058459</v>
      </c>
      <c r="G3">
        <f t="shared" ref="G3:G19" si="4">1-A3</f>
        <v>0.6464943293103449</v>
      </c>
    </row>
    <row r="4" spans="1:7" x14ac:dyDescent="0.2">
      <c r="A4">
        <f t="shared" si="0"/>
        <v>0.38013682896551726</v>
      </c>
      <c r="B4">
        <v>110.2396804</v>
      </c>
      <c r="C4">
        <v>69.211565530000001</v>
      </c>
      <c r="D4">
        <f t="shared" si="1"/>
        <v>1.4448452254219657</v>
      </c>
      <c r="E4">
        <f t="shared" si="2"/>
        <v>0.44655657767475765</v>
      </c>
      <c r="F4">
        <f t="shared" si="3"/>
        <v>0.72041153361233634</v>
      </c>
      <c r="G4">
        <f t="shared" si="4"/>
        <v>0.61986317103448274</v>
      </c>
    </row>
    <row r="5" spans="1:7" x14ac:dyDescent="0.2">
      <c r="A5">
        <f t="shared" si="0"/>
        <v>0.41686946137931036</v>
      </c>
      <c r="B5">
        <v>120.8921438</v>
      </c>
      <c r="C5">
        <v>72.531938370000006</v>
      </c>
      <c r="D5">
        <f t="shared" si="1"/>
        <v>1.3787029858471433</v>
      </c>
      <c r="E5">
        <f t="shared" si="2"/>
        <v>0.3804143380999353</v>
      </c>
      <c r="F5">
        <f t="shared" si="3"/>
        <v>0.65236565898220666</v>
      </c>
      <c r="G5">
        <f t="shared" si="4"/>
        <v>0.58313053862068964</v>
      </c>
    </row>
    <row r="6" spans="1:7" x14ac:dyDescent="0.2">
      <c r="A6">
        <f t="shared" si="0"/>
        <v>0.45360209379310346</v>
      </c>
      <c r="B6">
        <v>131.5446072</v>
      </c>
      <c r="C6">
        <v>78.252311199999994</v>
      </c>
      <c r="D6">
        <f t="shared" si="1"/>
        <v>1.277917526862772</v>
      </c>
      <c r="E6">
        <f t="shared" si="2"/>
        <v>0.279628879115564</v>
      </c>
      <c r="F6">
        <f t="shared" si="3"/>
        <v>0.51176784526271779</v>
      </c>
      <c r="G6">
        <f t="shared" si="4"/>
        <v>0.54639790620689654</v>
      </c>
    </row>
    <row r="7" spans="1:7" x14ac:dyDescent="0.2">
      <c r="A7">
        <f t="shared" si="0"/>
        <v>0.49492630517241376</v>
      </c>
      <c r="B7">
        <v>143.5286285</v>
      </c>
      <c r="C7">
        <v>83.059159219999998</v>
      </c>
      <c r="D7">
        <f t="shared" si="1"/>
        <v>1.203961139735698</v>
      </c>
      <c r="E7">
        <f t="shared" si="2"/>
        <v>0.20567249198848991</v>
      </c>
      <c r="F7">
        <f t="shared" si="3"/>
        <v>0.40721283665089508</v>
      </c>
      <c r="G7">
        <f t="shared" si="4"/>
        <v>0.50507369482758624</v>
      </c>
    </row>
    <row r="8" spans="1:7" x14ac:dyDescent="0.2">
      <c r="A8">
        <f t="shared" si="0"/>
        <v>0.55186188517241375</v>
      </c>
      <c r="B8">
        <v>160.0399467</v>
      </c>
      <c r="C8">
        <v>88.782879969999996</v>
      </c>
      <c r="D8">
        <f t="shared" si="1"/>
        <v>1.1263432773727358</v>
      </c>
      <c r="E8">
        <f t="shared" si="2"/>
        <v>0.12805462962552772</v>
      </c>
      <c r="F8">
        <f t="shared" si="3"/>
        <v>0.28574813297189555</v>
      </c>
      <c r="G8">
        <f t="shared" si="4"/>
        <v>0.44813811482758625</v>
      </c>
    </row>
    <row r="9" spans="1:7" x14ac:dyDescent="0.2">
      <c r="A9">
        <f t="shared" si="0"/>
        <v>0.62349051827586199</v>
      </c>
      <c r="B9">
        <v>180.81225029999999</v>
      </c>
      <c r="C9">
        <v>93.137607000000003</v>
      </c>
      <c r="D9">
        <f t="shared" si="1"/>
        <v>1.073680151563267</v>
      </c>
      <c r="E9">
        <f t="shared" si="2"/>
        <v>7.5391503816058969E-2</v>
      </c>
      <c r="F9">
        <f t="shared" si="3"/>
        <v>0.20023799525797076</v>
      </c>
      <c r="G9">
        <f t="shared" si="4"/>
        <v>0.37650948172413801</v>
      </c>
    </row>
    <row r="10" spans="1:7" x14ac:dyDescent="0.2">
      <c r="A10">
        <f t="shared" si="0"/>
        <v>0.66205978241379304</v>
      </c>
      <c r="B10">
        <v>191.99733689999999</v>
      </c>
      <c r="C10">
        <v>95.886855620000006</v>
      </c>
      <c r="D10">
        <f t="shared" si="1"/>
        <v>1.0428958104153545</v>
      </c>
      <c r="E10">
        <f t="shared" si="2"/>
        <v>4.4607162668146461E-2</v>
      </c>
      <c r="F10">
        <f t="shared" si="3"/>
        <v>0.13199720053079325</v>
      </c>
      <c r="G10">
        <f t="shared" si="4"/>
        <v>0.33794021758620696</v>
      </c>
    </row>
    <row r="11" spans="1:7" x14ac:dyDescent="0.2">
      <c r="A11">
        <f t="shared" si="0"/>
        <v>0.69052757241379314</v>
      </c>
      <c r="B11">
        <v>200.252996</v>
      </c>
      <c r="C11">
        <v>97.377287429999996</v>
      </c>
      <c r="D11">
        <f t="shared" si="1"/>
        <v>1.0269335143668421</v>
      </c>
      <c r="E11">
        <f t="shared" si="2"/>
        <v>2.8644866619634057E-2</v>
      </c>
      <c r="F11">
        <f t="shared" si="3"/>
        <v>9.2560319001778357E-2</v>
      </c>
      <c r="G11">
        <f t="shared" si="4"/>
        <v>0.30947242758620686</v>
      </c>
    </row>
    <row r="12" spans="1:7" x14ac:dyDescent="0.2">
      <c r="A12">
        <f t="shared" si="0"/>
        <v>0.72634188896551721</v>
      </c>
      <c r="B12">
        <v>210.63914779999999</v>
      </c>
      <c r="C12">
        <v>97.268936659999994</v>
      </c>
      <c r="D12">
        <f t="shared" si="1"/>
        <v>1.0280774462410989</v>
      </c>
      <c r="E12">
        <f t="shared" si="2"/>
        <v>2.9788798493890822E-2</v>
      </c>
      <c r="F12">
        <f t="shared" si="3"/>
        <v>0.10885406751250004</v>
      </c>
      <c r="G12">
        <f t="shared" si="4"/>
        <v>0.27365811103448279</v>
      </c>
    </row>
    <row r="13" spans="1:7" x14ac:dyDescent="0.2">
      <c r="A13">
        <f t="shared" si="0"/>
        <v>0.75756462655172419</v>
      </c>
      <c r="B13">
        <v>219.6937417</v>
      </c>
      <c r="C13">
        <v>98.416967850000006</v>
      </c>
      <c r="D13">
        <f t="shared" si="1"/>
        <v>1.0160849514528099</v>
      </c>
      <c r="E13">
        <f t="shared" si="2"/>
        <v>1.7796303705601813E-2</v>
      </c>
      <c r="F13">
        <f t="shared" si="3"/>
        <v>7.3406382296759581E-2</v>
      </c>
      <c r="G13">
        <f t="shared" si="4"/>
        <v>0.24243537344827581</v>
      </c>
    </row>
    <row r="14" spans="1:7" x14ac:dyDescent="0.2">
      <c r="A14">
        <f t="shared" si="0"/>
        <v>0.79521557448275859</v>
      </c>
      <c r="B14">
        <v>230.61251659999999</v>
      </c>
      <c r="C14">
        <v>98.194635719999994</v>
      </c>
      <c r="D14">
        <f t="shared" si="1"/>
        <v>1.0183855693008319</v>
      </c>
      <c r="E14">
        <f t="shared" si="2"/>
        <v>2.0096921553623859E-2</v>
      </c>
      <c r="F14">
        <f t="shared" si="3"/>
        <v>9.8136962822555268E-2</v>
      </c>
      <c r="G14">
        <f t="shared" si="4"/>
        <v>0.20478442551724141</v>
      </c>
    </row>
    <row r="15" spans="1:7" x14ac:dyDescent="0.2">
      <c r="A15">
        <f t="shared" si="0"/>
        <v>0.86500757620689661</v>
      </c>
      <c r="B15">
        <v>250.85219710000001</v>
      </c>
      <c r="C15">
        <v>98.20620126</v>
      </c>
      <c r="D15">
        <f t="shared" si="1"/>
        <v>1.018265636151132</v>
      </c>
      <c r="E15">
        <f t="shared" si="2"/>
        <v>1.9976988403923923E-2</v>
      </c>
      <c r="F15">
        <f t="shared" si="3"/>
        <v>0.1479859968626219</v>
      </c>
      <c r="G15">
        <f t="shared" si="4"/>
        <v>0.13499242379310339</v>
      </c>
    </row>
    <row r="16" spans="1:7" x14ac:dyDescent="0.2">
      <c r="A16">
        <f t="shared" si="0"/>
        <v>0.89806694517241392</v>
      </c>
      <c r="B16">
        <v>260.43941410000002</v>
      </c>
      <c r="C16">
        <v>99.583108240000001</v>
      </c>
      <c r="D16">
        <f t="shared" si="1"/>
        <v>1.0041863702325424</v>
      </c>
      <c r="E16">
        <f t="shared" si="2"/>
        <v>5.8977224853343779E-3</v>
      </c>
      <c r="F16">
        <f t="shared" si="3"/>
        <v>5.78587828581223E-2</v>
      </c>
      <c r="G16">
        <f t="shared" si="4"/>
        <v>0.10193305482758608</v>
      </c>
    </row>
    <row r="17" spans="1:7" x14ac:dyDescent="0.2">
      <c r="A17">
        <f t="shared" si="0"/>
        <v>0.93755452517241378</v>
      </c>
      <c r="B17">
        <v>271.89081229999999</v>
      </c>
      <c r="C17">
        <v>99.589651889999999</v>
      </c>
      <c r="D17">
        <f t="shared" si="1"/>
        <v>1.0041203890385442</v>
      </c>
      <c r="E17">
        <f t="shared" si="2"/>
        <v>5.8317412913361233E-3</v>
      </c>
      <c r="F17">
        <f t="shared" si="3"/>
        <v>9.3389333773787955E-2</v>
      </c>
      <c r="G17">
        <f t="shared" si="4"/>
        <v>6.2445474827586223E-2</v>
      </c>
    </row>
    <row r="18" spans="1:7" x14ac:dyDescent="0.2">
      <c r="A18">
        <f t="shared" si="0"/>
        <v>0.97979705206896561</v>
      </c>
      <c r="B18">
        <v>284.14114510000002</v>
      </c>
      <c r="C18">
        <v>100.1680807</v>
      </c>
      <c r="D18">
        <f t="shared" si="1"/>
        <v>0.9983220133716707</v>
      </c>
      <c r="E18">
        <f t="shared" si="2"/>
        <v>3.3365624462655674E-5</v>
      </c>
      <c r="F18">
        <f t="shared" si="3"/>
        <v>1.6515225687139294E-3</v>
      </c>
      <c r="G18">
        <f t="shared" si="4"/>
        <v>2.0202947931034387E-2</v>
      </c>
    </row>
    <row r="19" spans="1:7" x14ac:dyDescent="0.2">
      <c r="A19">
        <f t="shared" si="0"/>
        <v>1</v>
      </c>
      <c r="B19">
        <v>290</v>
      </c>
      <c r="C19">
        <v>100.1714286</v>
      </c>
      <c r="D19">
        <f t="shared" si="1"/>
        <v>0.99828864774720805</v>
      </c>
      <c r="E19">
        <f t="shared" si="2"/>
        <v>0</v>
      </c>
      <c r="F19">
        <f t="shared" si="3"/>
        <v>0</v>
      </c>
      <c r="G19">
        <f t="shared" si="4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1CBB-20F0-7C46-83B1-7FDBC565404C}">
  <dimension ref="A1:G22"/>
  <sheetViews>
    <sheetView workbookViewId="0">
      <selection activeCell="G21" sqref="G21"/>
    </sheetView>
  </sheetViews>
  <sheetFormatPr baseColWidth="10" defaultColWidth="11" defaultRowHeight="16" x14ac:dyDescent="0.2"/>
  <cols>
    <col min="2" max="2" width="14.6640625" customWidth="1"/>
    <col min="3" max="3" width="16" customWidth="1"/>
    <col min="4" max="4" width="16.5" customWidth="1"/>
    <col min="5" max="5" width="14.1640625" customWidth="1"/>
    <col min="6" max="6" width="12.1640625" customWidth="1"/>
    <col min="7" max="7" width="17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f>B2/$B$22</f>
        <v>0.31212302592200397</v>
      </c>
      <c r="B2">
        <v>90.266311584553904</v>
      </c>
      <c r="C2">
        <v>63.0287236066197</v>
      </c>
      <c r="D2">
        <f>1/C2*100</f>
        <v>1.586578218275982</v>
      </c>
      <c r="E2">
        <f>D2-$D$22</f>
        <v>0.58600189240290823</v>
      </c>
      <c r="F2">
        <f>IFERROR(E2/G2,0)</f>
        <v>0.85189927048853875</v>
      </c>
      <c r="G2">
        <f>$A$22-A2</f>
        <v>0.68787697407799597</v>
      </c>
    </row>
    <row r="3" spans="1:7" x14ac:dyDescent="0.2">
      <c r="A3">
        <f t="shared" ref="A3:A22" si="0">B3/$B$22</f>
        <v>0.34803628159675842</v>
      </c>
      <c r="B3">
        <v>100.65246338215699</v>
      </c>
      <c r="C3">
        <v>72.177515693361201</v>
      </c>
      <c r="D3">
        <f t="shared" ref="D3:D22" si="1">1/C3*100</f>
        <v>1.3854730110806222</v>
      </c>
      <c r="E3">
        <f t="shared" ref="E3:E22" si="2">D3-$D$22</f>
        <v>0.38489668520754838</v>
      </c>
      <c r="F3">
        <f t="shared" ref="F3:F22" si="3">IFERROR(E3/G3,0)</f>
        <v>0.59036519110330088</v>
      </c>
      <c r="G3">
        <f t="shared" ref="G3:G22" si="4">$A$22-A3</f>
        <v>0.65196371840324163</v>
      </c>
    </row>
    <row r="4" spans="1:7" x14ac:dyDescent="0.2">
      <c r="A4">
        <f t="shared" si="0"/>
        <v>0.38210783185229391</v>
      </c>
      <c r="B4">
        <v>110.50599201065199</v>
      </c>
      <c r="C4">
        <v>81.326003424006004</v>
      </c>
      <c r="D4">
        <f t="shared" si="1"/>
        <v>1.2296190122442654</v>
      </c>
      <c r="E4">
        <f t="shared" si="2"/>
        <v>0.22904268637119163</v>
      </c>
      <c r="F4">
        <f t="shared" si="3"/>
        <v>0.37068391246616245</v>
      </c>
      <c r="G4">
        <f t="shared" si="4"/>
        <v>0.61789216814770609</v>
      </c>
    </row>
    <row r="5" spans="1:7" x14ac:dyDescent="0.2">
      <c r="A5">
        <f t="shared" si="0"/>
        <v>0.4161793821078294</v>
      </c>
      <c r="B5">
        <v>120.35952063914699</v>
      </c>
      <c r="C5">
        <v>92.0744911546509</v>
      </c>
      <c r="D5">
        <f t="shared" si="1"/>
        <v>1.0860771397806284</v>
      </c>
      <c r="E5">
        <f t="shared" si="2"/>
        <v>8.5500813907554596E-2</v>
      </c>
      <c r="F5">
        <f t="shared" si="3"/>
        <v>0.14645048716547088</v>
      </c>
      <c r="G5">
        <f t="shared" si="4"/>
        <v>0.58382061789217055</v>
      </c>
    </row>
    <row r="6" spans="1:7" x14ac:dyDescent="0.2">
      <c r="A6">
        <f t="shared" si="0"/>
        <v>0.45209263778258701</v>
      </c>
      <c r="B6">
        <v>130.74567243675099</v>
      </c>
      <c r="C6">
        <v>90.137568955678105</v>
      </c>
      <c r="D6">
        <f t="shared" si="1"/>
        <v>1.1094153210319151</v>
      </c>
      <c r="E6">
        <f t="shared" si="2"/>
        <v>0.10883899515884132</v>
      </c>
      <c r="F6">
        <f t="shared" si="3"/>
        <v>0.19864488536595598</v>
      </c>
      <c r="G6">
        <f t="shared" si="4"/>
        <v>0.54790736221741299</v>
      </c>
    </row>
    <row r="7" spans="1:7" x14ac:dyDescent="0.2">
      <c r="A7">
        <f t="shared" si="0"/>
        <v>0.48432248261890382</v>
      </c>
      <c r="B7">
        <v>140.066577896138</v>
      </c>
      <c r="C7">
        <v>90.371466615940605</v>
      </c>
      <c r="D7">
        <f t="shared" si="1"/>
        <v>1.106543954022331</v>
      </c>
      <c r="E7">
        <f t="shared" si="2"/>
        <v>0.1059676281492572</v>
      </c>
      <c r="F7">
        <f t="shared" si="3"/>
        <v>0.20549204605122426</v>
      </c>
      <c r="G7">
        <f t="shared" si="4"/>
        <v>0.51567751738109613</v>
      </c>
    </row>
    <row r="8" spans="1:7" x14ac:dyDescent="0.2">
      <c r="A8">
        <f t="shared" si="0"/>
        <v>0.50458124223030254</v>
      </c>
      <c r="B8">
        <v>145.925432756324</v>
      </c>
      <c r="C8">
        <v>96.660528818717793</v>
      </c>
      <c r="D8">
        <f t="shared" si="1"/>
        <v>1.0345484472523963</v>
      </c>
      <c r="E8">
        <f t="shared" si="2"/>
        <v>3.3972121379322484E-2</v>
      </c>
      <c r="F8">
        <f t="shared" si="3"/>
        <v>6.8572537568540981E-2</v>
      </c>
      <c r="G8">
        <f t="shared" si="4"/>
        <v>0.49541875776969746</v>
      </c>
    </row>
    <row r="9" spans="1:7" x14ac:dyDescent="0.2">
      <c r="A9">
        <f t="shared" si="0"/>
        <v>0.5193148855840487</v>
      </c>
      <c r="B9">
        <v>150.186418109187</v>
      </c>
      <c r="C9">
        <v>101.805820810348</v>
      </c>
      <c r="D9">
        <f t="shared" si="1"/>
        <v>0.9822621064692163</v>
      </c>
      <c r="E9">
        <f t="shared" si="2"/>
        <v>-1.8314219403857468E-2</v>
      </c>
      <c r="F9">
        <f t="shared" si="3"/>
        <v>-3.8100242455208676E-2</v>
      </c>
      <c r="G9">
        <f t="shared" si="4"/>
        <v>0.4806851144159513</v>
      </c>
    </row>
    <row r="10" spans="1:7" x14ac:dyDescent="0.2">
      <c r="A10">
        <f t="shared" si="0"/>
        <v>0.55430728854919697</v>
      </c>
      <c r="B10">
        <v>160.306258322237</v>
      </c>
      <c r="C10">
        <v>103.41160357618401</v>
      </c>
      <c r="D10">
        <f t="shared" si="1"/>
        <v>0.96700947032824369</v>
      </c>
      <c r="E10">
        <f t="shared" si="2"/>
        <v>-3.3566855544830076E-2</v>
      </c>
      <c r="F10">
        <f t="shared" si="3"/>
        <v>-7.5313898303529456E-2</v>
      </c>
      <c r="G10">
        <f t="shared" si="4"/>
        <v>0.44569271145080303</v>
      </c>
    </row>
    <row r="11" spans="1:7" x14ac:dyDescent="0.2">
      <c r="A11">
        <f t="shared" si="0"/>
        <v>0.59114139693356049</v>
      </c>
      <c r="B11">
        <v>170.95872170439401</v>
      </c>
      <c r="C11">
        <v>101.24626212668799</v>
      </c>
      <c r="D11">
        <f t="shared" si="1"/>
        <v>0.98769078383231013</v>
      </c>
      <c r="E11">
        <f t="shared" si="2"/>
        <v>-1.2885542040763642E-2</v>
      </c>
      <c r="F11">
        <f t="shared" si="3"/>
        <v>-3.1515888241367744E-2</v>
      </c>
      <c r="G11">
        <f t="shared" si="4"/>
        <v>0.40885860306643951</v>
      </c>
    </row>
    <row r="12" spans="1:7" x14ac:dyDescent="0.2">
      <c r="A12">
        <f t="shared" si="0"/>
        <v>0.62429209447948664</v>
      </c>
      <c r="B12">
        <v>180.545938748335</v>
      </c>
      <c r="C12">
        <v>102.280311964999</v>
      </c>
      <c r="D12">
        <f t="shared" si="1"/>
        <v>0.97770526975143235</v>
      </c>
      <c r="E12">
        <f t="shared" si="2"/>
        <v>-2.287105612164142E-2</v>
      </c>
      <c r="F12">
        <f t="shared" si="3"/>
        <v>-6.0874567145334339E-2</v>
      </c>
      <c r="G12">
        <f t="shared" si="4"/>
        <v>0.37570790552051336</v>
      </c>
    </row>
    <row r="13" spans="1:7" x14ac:dyDescent="0.2">
      <c r="A13">
        <f t="shared" si="0"/>
        <v>0.66020535015424076</v>
      </c>
      <c r="B13">
        <v>190.932090545938</v>
      </c>
      <c r="C13">
        <v>101.486246908883</v>
      </c>
      <c r="D13">
        <f t="shared" si="1"/>
        <v>0.98535518896252605</v>
      </c>
      <c r="E13">
        <f t="shared" si="2"/>
        <v>-1.5221136910547717E-2</v>
      </c>
      <c r="F13">
        <f t="shared" si="3"/>
        <v>-4.4795104682951739E-2</v>
      </c>
      <c r="G13">
        <f t="shared" si="4"/>
        <v>0.33979464984575924</v>
      </c>
    </row>
    <row r="14" spans="1:7" x14ac:dyDescent="0.2">
      <c r="A14">
        <f t="shared" si="0"/>
        <v>0.69151434228095177</v>
      </c>
      <c r="B14">
        <v>199.98668442077201</v>
      </c>
      <c r="C14">
        <v>99.891420962526098</v>
      </c>
      <c r="D14">
        <f t="shared" si="1"/>
        <v>1.001086970596951</v>
      </c>
      <c r="E14">
        <f t="shared" si="2"/>
        <v>5.1064472387718496E-4</v>
      </c>
      <c r="F14">
        <f t="shared" si="3"/>
        <v>1.6553272772968008E-3</v>
      </c>
      <c r="G14">
        <f t="shared" si="4"/>
        <v>0.30848565771904823</v>
      </c>
    </row>
    <row r="15" spans="1:7" x14ac:dyDescent="0.2">
      <c r="A15">
        <f t="shared" si="0"/>
        <v>0.72834845066531517</v>
      </c>
      <c r="B15">
        <v>210.63914780292899</v>
      </c>
      <c r="C15">
        <v>102.983222370173</v>
      </c>
      <c r="D15">
        <f t="shared" si="1"/>
        <v>0.97103195742458126</v>
      </c>
      <c r="E15">
        <f t="shared" si="2"/>
        <v>-2.9544368448492508E-2</v>
      </c>
      <c r="F15">
        <f t="shared" si="3"/>
        <v>-0.10875832853098417</v>
      </c>
      <c r="G15">
        <f t="shared" si="4"/>
        <v>0.27165154933468483</v>
      </c>
    </row>
    <row r="16" spans="1:7" x14ac:dyDescent="0.2">
      <c r="A16">
        <f t="shared" si="0"/>
        <v>0.76149914821124143</v>
      </c>
      <c r="B16">
        <v>220.22636484687001</v>
      </c>
      <c r="C16">
        <v>100.931557922769</v>
      </c>
      <c r="D16">
        <f t="shared" si="1"/>
        <v>0.99077039984380499</v>
      </c>
      <c r="E16">
        <f t="shared" si="2"/>
        <v>-9.8059260292687744E-3</v>
      </c>
      <c r="F16">
        <f t="shared" si="3"/>
        <v>-4.1114846994147983E-2</v>
      </c>
      <c r="G16">
        <f t="shared" si="4"/>
        <v>0.23850085178875857</v>
      </c>
    </row>
    <row r="17" spans="1:7" x14ac:dyDescent="0.2">
      <c r="A17">
        <f t="shared" si="0"/>
        <v>0.7964915511763897</v>
      </c>
      <c r="B17">
        <v>230.34620505992001</v>
      </c>
      <c r="C17">
        <v>100.48019783146199</v>
      </c>
      <c r="D17">
        <f t="shared" si="1"/>
        <v>0.99522097048149283</v>
      </c>
      <c r="E17">
        <f t="shared" si="2"/>
        <v>-5.3553553915809404E-3</v>
      </c>
      <c r="F17">
        <f t="shared" si="3"/>
        <v>-2.6315150169625941E-2</v>
      </c>
      <c r="G17">
        <f t="shared" si="4"/>
        <v>0.2035084488236103</v>
      </c>
    </row>
    <row r="18" spans="1:7" x14ac:dyDescent="0.2">
      <c r="A18">
        <f t="shared" si="0"/>
        <v>0.83240480685114382</v>
      </c>
      <c r="B18">
        <v>240.732356857523</v>
      </c>
      <c r="C18">
        <v>101.400418489632</v>
      </c>
      <c r="D18">
        <f t="shared" si="1"/>
        <v>0.98618922376760032</v>
      </c>
      <c r="E18">
        <f t="shared" si="2"/>
        <v>-1.4387102105473448E-2</v>
      </c>
      <c r="F18">
        <f t="shared" si="3"/>
        <v>-8.5844360062850872E-2</v>
      </c>
      <c r="G18">
        <f t="shared" si="4"/>
        <v>0.16759519314885618</v>
      </c>
    </row>
    <row r="19" spans="1:7" x14ac:dyDescent="0.2">
      <c r="A19">
        <f t="shared" si="0"/>
        <v>0.89686449652378086</v>
      </c>
      <c r="B19">
        <v>259.37416777629801</v>
      </c>
      <c r="C19">
        <v>101.639642381586</v>
      </c>
      <c r="D19">
        <f t="shared" si="1"/>
        <v>0.98386808194945941</v>
      </c>
      <c r="E19">
        <f t="shared" si="2"/>
        <v>-1.6708243923614363E-2</v>
      </c>
      <c r="F19">
        <f t="shared" si="3"/>
        <v>-0.16200283472186597</v>
      </c>
      <c r="G19">
        <f t="shared" si="4"/>
        <v>0.10313550347621914</v>
      </c>
    </row>
    <row r="20" spans="1:7" x14ac:dyDescent="0.2">
      <c r="A20">
        <f t="shared" si="0"/>
        <v>0.93830286845619115</v>
      </c>
      <c r="B20">
        <v>271.35818908122502</v>
      </c>
      <c r="C20">
        <v>101.760776108046</v>
      </c>
      <c r="D20">
        <f t="shared" si="1"/>
        <v>0.98269690763584128</v>
      </c>
      <c r="E20">
        <f t="shared" si="2"/>
        <v>-1.7879418237232492E-2</v>
      </c>
      <c r="F20">
        <f t="shared" si="3"/>
        <v>-0.28979334678690821</v>
      </c>
      <c r="G20">
        <f t="shared" si="4"/>
        <v>6.1697131543808847E-2</v>
      </c>
    </row>
    <row r="21" spans="1:7" x14ac:dyDescent="0.2">
      <c r="A21">
        <f t="shared" si="0"/>
        <v>0.9714535660021173</v>
      </c>
      <c r="B21">
        <v>280.94540612516602</v>
      </c>
      <c r="C21">
        <v>101.766254517785</v>
      </c>
      <c r="D21">
        <f t="shared" si="1"/>
        <v>0.98264400585288003</v>
      </c>
      <c r="E21">
        <f t="shared" si="2"/>
        <v>-1.7932320020193737E-2</v>
      </c>
      <c r="F21">
        <f t="shared" si="3"/>
        <v>-0.62818073954609466</v>
      </c>
      <c r="G21">
        <f t="shared" si="4"/>
        <v>2.8546433997882703E-2</v>
      </c>
    </row>
    <row r="22" spans="1:7" x14ac:dyDescent="0.2">
      <c r="A22">
        <f t="shared" si="0"/>
        <v>1</v>
      </c>
      <c r="B22">
        <v>289.20106524633798</v>
      </c>
      <c r="C22">
        <v>99.942400608712106</v>
      </c>
      <c r="D22">
        <f t="shared" si="1"/>
        <v>1.0005763258730738</v>
      </c>
      <c r="E22">
        <f t="shared" si="2"/>
        <v>0</v>
      </c>
      <c r="F22">
        <f t="shared" si="3"/>
        <v>0</v>
      </c>
      <c r="G22">
        <f t="shared" si="4"/>
        <v>0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1051-F995-914C-8EAE-FF988C233AE2}">
  <dimension ref="A1:E19"/>
  <sheetViews>
    <sheetView workbookViewId="0">
      <selection activeCell="C2" sqref="C2"/>
    </sheetView>
  </sheetViews>
  <sheetFormatPr baseColWidth="10" defaultColWidth="11" defaultRowHeight="16" x14ac:dyDescent="0.2"/>
  <sheetData>
    <row r="1" spans="1:5" x14ac:dyDescent="0.2">
      <c r="A1" t="s">
        <v>1</v>
      </c>
      <c r="B1" t="s">
        <v>10</v>
      </c>
      <c r="C1" t="s">
        <v>7</v>
      </c>
      <c r="D1" t="s">
        <v>8</v>
      </c>
      <c r="E1" t="s">
        <v>9</v>
      </c>
    </row>
    <row r="2" spans="1:5" x14ac:dyDescent="0.2">
      <c r="A2">
        <v>89.950509289999999</v>
      </c>
      <c r="B2">
        <v>44.195458700000003</v>
      </c>
      <c r="C2">
        <v>3183.3026220000002</v>
      </c>
      <c r="D2">
        <v>15.954778989999999</v>
      </c>
      <c r="E2">
        <v>199.52032080000001</v>
      </c>
    </row>
    <row r="3" spans="1:5" x14ac:dyDescent="0.2">
      <c r="A3">
        <v>100.6070861</v>
      </c>
      <c r="B3">
        <v>53.465026559999998</v>
      </c>
      <c r="C3">
        <v>2223.2353069999999</v>
      </c>
      <c r="D3">
        <v>11.77163631</v>
      </c>
      <c r="E3">
        <v>188.863744</v>
      </c>
    </row>
    <row r="4" spans="1:5" x14ac:dyDescent="0.2">
      <c r="A4">
        <v>110.9870224</v>
      </c>
      <c r="B4">
        <v>61.411119759999998</v>
      </c>
      <c r="C4">
        <v>1537.0401039999999</v>
      </c>
      <c r="D4">
        <v>8.6116501220000004</v>
      </c>
      <c r="E4">
        <v>178.4838077</v>
      </c>
    </row>
    <row r="5" spans="1:5" x14ac:dyDescent="0.2">
      <c r="A5">
        <v>119.6889276</v>
      </c>
      <c r="B5">
        <v>66.589286319999999</v>
      </c>
      <c r="C5">
        <v>1157.832406</v>
      </c>
      <c r="D5">
        <v>6.8195278129999997</v>
      </c>
      <c r="E5">
        <v>169.7819025</v>
      </c>
    </row>
    <row r="6" spans="1:5" x14ac:dyDescent="0.2">
      <c r="A6">
        <v>137.67478259999999</v>
      </c>
      <c r="B6">
        <v>71.412134949999995</v>
      </c>
      <c r="C6">
        <v>852.87874720000002</v>
      </c>
      <c r="D6">
        <v>5.618583364</v>
      </c>
      <c r="E6">
        <v>151.79604749999999</v>
      </c>
    </row>
    <row r="7" spans="1:5" x14ac:dyDescent="0.2">
      <c r="A7">
        <v>156.2164563</v>
      </c>
      <c r="B7">
        <v>78.160129940000004</v>
      </c>
      <c r="C7">
        <v>504.27610650000003</v>
      </c>
      <c r="D7">
        <v>3.7843118549999999</v>
      </c>
      <c r="E7">
        <v>133.2543738</v>
      </c>
    </row>
    <row r="8" spans="1:5" x14ac:dyDescent="0.2">
      <c r="A8">
        <v>170.2595513</v>
      </c>
      <c r="B8">
        <v>84.303915270000005</v>
      </c>
      <c r="C8">
        <v>266.09137700000002</v>
      </c>
      <c r="D8">
        <v>2.2320990059999999</v>
      </c>
      <c r="E8">
        <v>119.2112788</v>
      </c>
    </row>
    <row r="9" spans="1:5" x14ac:dyDescent="0.2">
      <c r="A9">
        <v>180.65090860000001</v>
      </c>
      <c r="B9">
        <v>89.00189503</v>
      </c>
      <c r="C9">
        <v>134.89260949999999</v>
      </c>
      <c r="D9">
        <v>1.239594807</v>
      </c>
      <c r="E9">
        <v>108.81992150000001</v>
      </c>
    </row>
    <row r="10" spans="1:5" x14ac:dyDescent="0.2">
      <c r="A10">
        <v>192.18435919999999</v>
      </c>
      <c r="B10">
        <v>88.888531689999994</v>
      </c>
      <c r="C10">
        <v>137.5387388</v>
      </c>
      <c r="D10">
        <v>1.413749903</v>
      </c>
      <c r="E10">
        <v>97.286470899999998</v>
      </c>
    </row>
    <row r="11" spans="1:5" x14ac:dyDescent="0.2">
      <c r="A11">
        <v>200.3418666</v>
      </c>
      <c r="B11">
        <v>88.893438459999999</v>
      </c>
      <c r="C11">
        <v>137.4236727</v>
      </c>
      <c r="D11">
        <v>1.5418520229999999</v>
      </c>
      <c r="E11">
        <v>89.128963499999998</v>
      </c>
    </row>
    <row r="12" spans="1:5" x14ac:dyDescent="0.2">
      <c r="A12">
        <v>209.88765190000001</v>
      </c>
      <c r="B12">
        <v>94.072112619999999</v>
      </c>
      <c r="C12">
        <v>42.825378049999998</v>
      </c>
      <c r="D12">
        <v>0.538120983</v>
      </c>
      <c r="E12">
        <v>79.583178200000006</v>
      </c>
    </row>
    <row r="13" spans="1:5" x14ac:dyDescent="0.2">
      <c r="A13">
        <v>219.73313089999999</v>
      </c>
      <c r="B13">
        <v>94.017884339999995</v>
      </c>
      <c r="C13">
        <v>43.538070429999998</v>
      </c>
      <c r="D13">
        <v>0.62431182699999999</v>
      </c>
      <c r="E13">
        <v>69.737699199999994</v>
      </c>
    </row>
    <row r="14" spans="1:5" x14ac:dyDescent="0.2">
      <c r="A14">
        <v>230.40176310000001</v>
      </c>
      <c r="B14">
        <v>99.858888019999995</v>
      </c>
      <c r="C14">
        <v>0.57355596900000005</v>
      </c>
      <c r="D14">
        <v>9.7099209999999998E-3</v>
      </c>
      <c r="E14">
        <v>59.069066999999997</v>
      </c>
    </row>
    <row r="15" spans="1:5" x14ac:dyDescent="0.2">
      <c r="A15">
        <v>241.9356367</v>
      </c>
      <c r="B15">
        <v>99.625224189999997</v>
      </c>
      <c r="C15">
        <v>0.98207824499999996</v>
      </c>
      <c r="D15">
        <v>2.0660023999999999E-2</v>
      </c>
      <c r="E15">
        <v>47.535193399999997</v>
      </c>
    </row>
    <row r="16" spans="1:5" x14ac:dyDescent="0.2">
      <c r="A16">
        <v>258.81112309999997</v>
      </c>
      <c r="B16">
        <v>100.2368786</v>
      </c>
      <c r="C16">
        <v>0.14390202199999999</v>
      </c>
      <c r="D16">
        <v>4.6935220000000003E-3</v>
      </c>
      <c r="E16">
        <v>30.659707000000001</v>
      </c>
    </row>
    <row r="17" spans="1:5" x14ac:dyDescent="0.2">
      <c r="A17">
        <v>269.78367909999997</v>
      </c>
      <c r="B17">
        <v>99.64197489</v>
      </c>
      <c r="C17">
        <v>0.94915899000000004</v>
      </c>
      <c r="D17">
        <v>4.8212104999999998E-2</v>
      </c>
      <c r="E17">
        <v>19.687151</v>
      </c>
    </row>
    <row r="18" spans="1:5" x14ac:dyDescent="0.2">
      <c r="A18">
        <v>279.46461199999999</v>
      </c>
      <c r="B18">
        <v>100</v>
      </c>
      <c r="C18">
        <v>0.37973053899999998</v>
      </c>
      <c r="D18">
        <v>3.7949456999999999E-2</v>
      </c>
      <c r="E18">
        <v>10.0062181</v>
      </c>
    </row>
    <row r="19" spans="1:5" x14ac:dyDescent="0.2">
      <c r="A19">
        <v>289.4708301</v>
      </c>
      <c r="B19">
        <v>100.6162228</v>
      </c>
      <c r="C19">
        <v>0</v>
      </c>
      <c r="E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58CC-0796-9B4C-A063-C58FA61FB692}">
  <dimension ref="A1:E17"/>
  <sheetViews>
    <sheetView workbookViewId="0">
      <selection activeCell="A2" sqref="A2:B17"/>
    </sheetView>
  </sheetViews>
  <sheetFormatPr baseColWidth="10" defaultColWidth="11" defaultRowHeight="16" x14ac:dyDescent="0.2"/>
  <sheetData>
    <row r="1" spans="1:5" x14ac:dyDescent="0.2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89.975889140000007</v>
      </c>
      <c r="B2">
        <v>36.977428850000003</v>
      </c>
      <c r="C2">
        <v>4034.6205049999999</v>
      </c>
      <c r="D2">
        <v>20.195655290000001</v>
      </c>
      <c r="E2">
        <v>199.77665730000001</v>
      </c>
    </row>
    <row r="3" spans="1:5" x14ac:dyDescent="0.2">
      <c r="A3">
        <v>100.3452506</v>
      </c>
      <c r="B3">
        <v>47.931034480000001</v>
      </c>
      <c r="C3">
        <v>2763.0852199999999</v>
      </c>
      <c r="D3">
        <v>14.58806118</v>
      </c>
      <c r="E3">
        <v>189.40729590000001</v>
      </c>
    </row>
    <row r="4" spans="1:5" x14ac:dyDescent="0.2">
      <c r="A4">
        <v>113.8223749</v>
      </c>
      <c r="B4">
        <v>55.036885380000001</v>
      </c>
      <c r="C4">
        <v>2066.5394209999999</v>
      </c>
      <c r="D4">
        <v>11.746361650000001</v>
      </c>
      <c r="E4">
        <v>175.93017159999999</v>
      </c>
    </row>
    <row r="5" spans="1:5" x14ac:dyDescent="0.2">
      <c r="A5">
        <v>120.8415959</v>
      </c>
      <c r="B5">
        <v>58.770430779999998</v>
      </c>
      <c r="C5">
        <v>1741.030763</v>
      </c>
      <c r="D5">
        <v>10.307388339999999</v>
      </c>
      <c r="E5">
        <v>168.91095060000001</v>
      </c>
    </row>
    <row r="6" spans="1:5" x14ac:dyDescent="0.2">
      <c r="A6">
        <v>142.47030559999999</v>
      </c>
      <c r="B6">
        <v>67.565395420000002</v>
      </c>
      <c r="C6">
        <v>1084.4307449999999</v>
      </c>
      <c r="D6">
        <v>7.3629430009999997</v>
      </c>
      <c r="E6">
        <v>147.28224090000001</v>
      </c>
    </row>
    <row r="7" spans="1:5" x14ac:dyDescent="0.2">
      <c r="A7">
        <v>164.09901529999999</v>
      </c>
      <c r="B7">
        <v>76.360360060000005</v>
      </c>
      <c r="C7">
        <v>582.53353249999998</v>
      </c>
      <c r="D7">
        <v>4.6360299390000002</v>
      </c>
      <c r="E7">
        <v>125.6535312</v>
      </c>
    </row>
    <row r="8" spans="1:5" x14ac:dyDescent="0.2">
      <c r="A8">
        <v>179.55153799999999</v>
      </c>
      <c r="B8">
        <v>81.662887889999993</v>
      </c>
      <c r="C8">
        <v>354.68955840000001</v>
      </c>
      <c r="D8">
        <v>3.2185690810000001</v>
      </c>
      <c r="E8">
        <v>110.20100840000001</v>
      </c>
    </row>
    <row r="9" spans="1:5" x14ac:dyDescent="0.2">
      <c r="A9">
        <v>200.91502829999999</v>
      </c>
      <c r="B9">
        <v>85.886264420000003</v>
      </c>
      <c r="C9">
        <v>213.44704730000001</v>
      </c>
      <c r="D9">
        <v>2.4026678320000001</v>
      </c>
      <c r="E9">
        <v>88.837518189999997</v>
      </c>
    </row>
    <row r="10" spans="1:5" x14ac:dyDescent="0.2">
      <c r="A10">
        <v>210.18544209999999</v>
      </c>
      <c r="B10">
        <v>89.380562420000004</v>
      </c>
      <c r="C10">
        <v>123.55498679999999</v>
      </c>
      <c r="D10">
        <v>1.5528400570000001</v>
      </c>
      <c r="E10">
        <v>79.567104330000006</v>
      </c>
    </row>
    <row r="11" spans="1:5" x14ac:dyDescent="0.2">
      <c r="A11">
        <v>220.5886434</v>
      </c>
      <c r="B11">
        <v>90.710128249999997</v>
      </c>
      <c r="C11">
        <v>95.765076730000004</v>
      </c>
      <c r="D11">
        <v>1.3846106490000001</v>
      </c>
      <c r="E11">
        <v>69.163903079999997</v>
      </c>
    </row>
    <row r="12" spans="1:5" x14ac:dyDescent="0.2">
      <c r="A12">
        <v>230.14373459999999</v>
      </c>
      <c r="B12">
        <v>93.242191469999995</v>
      </c>
      <c r="C12">
        <v>52.619065749999997</v>
      </c>
      <c r="D12">
        <v>0.88273971699999998</v>
      </c>
      <c r="E12">
        <v>59.608811879999998</v>
      </c>
    </row>
    <row r="13" spans="1:5" x14ac:dyDescent="0.2">
      <c r="A13">
        <v>239.70855470000001</v>
      </c>
      <c r="B13">
        <v>93.007343239999997</v>
      </c>
      <c r="C13">
        <v>56.08135059</v>
      </c>
      <c r="D13">
        <v>1.1206410330000001</v>
      </c>
      <c r="E13">
        <v>50.043991740000003</v>
      </c>
    </row>
    <row r="14" spans="1:5" x14ac:dyDescent="0.2">
      <c r="A14">
        <v>252.6370512</v>
      </c>
      <c r="B14">
        <v>96.142939330000004</v>
      </c>
      <c r="C14">
        <v>18.94993388</v>
      </c>
      <c r="D14">
        <v>0.51056664500000004</v>
      </c>
      <c r="E14">
        <v>37.115495250000002</v>
      </c>
    </row>
    <row r="15" spans="1:5" x14ac:dyDescent="0.2">
      <c r="A15">
        <v>269.78790900000001</v>
      </c>
      <c r="B15">
        <v>98.438969920000005</v>
      </c>
      <c r="C15">
        <v>4.2317492210000003</v>
      </c>
      <c r="D15">
        <v>0.211962238</v>
      </c>
      <c r="E15">
        <v>19.964637410000002</v>
      </c>
    </row>
    <row r="16" spans="1:5" x14ac:dyDescent="0.2">
      <c r="A16">
        <v>280.47747959999998</v>
      </c>
      <c r="B16">
        <v>98.325098980000007</v>
      </c>
      <c r="C16">
        <v>4.713208528</v>
      </c>
      <c r="D16">
        <v>0.50815898299999995</v>
      </c>
      <c r="E16">
        <v>9.2750668340000004</v>
      </c>
    </row>
    <row r="17" spans="1:5" x14ac:dyDescent="0.2">
      <c r="A17">
        <v>289.75254640000003</v>
      </c>
      <c r="B17">
        <v>100.49609150000001</v>
      </c>
      <c r="C17">
        <v>0</v>
      </c>
      <c r="E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C329-F096-A149-8D55-449ED6012DCB}">
  <dimension ref="A1:B18"/>
  <sheetViews>
    <sheetView workbookViewId="0">
      <selection activeCell="C20" sqref="C20"/>
    </sheetView>
  </sheetViews>
  <sheetFormatPr baseColWidth="10" defaultColWidth="11" defaultRowHeight="16" x14ac:dyDescent="0.2"/>
  <sheetData>
    <row r="1" spans="1:2" x14ac:dyDescent="0.2">
      <c r="A1" t="s">
        <v>11</v>
      </c>
      <c r="B1">
        <v>48.646577103989699</v>
      </c>
    </row>
    <row r="2" spans="1:2" x14ac:dyDescent="0.2">
      <c r="A2">
        <v>100.31267977394999</v>
      </c>
      <c r="B2">
        <v>57.194172786030897</v>
      </c>
    </row>
    <row r="3" spans="1:2" x14ac:dyDescent="0.2">
      <c r="A3">
        <v>109.855927041386</v>
      </c>
      <c r="B3">
        <v>63.094649927244397</v>
      </c>
    </row>
    <row r="4" spans="1:2" x14ac:dyDescent="0.2">
      <c r="A4">
        <v>119.970643971439</v>
      </c>
      <c r="B4">
        <v>66.469155020134593</v>
      </c>
    </row>
    <row r="5" spans="1:2" x14ac:dyDescent="0.2">
      <c r="A5">
        <v>130.924588000406</v>
      </c>
      <c r="B5">
        <v>71.167473181956595</v>
      </c>
    </row>
    <row r="6" spans="1:2" x14ac:dyDescent="0.2">
      <c r="A6">
        <v>140.18400392541699</v>
      </c>
      <c r="B6">
        <v>77.789584108828706</v>
      </c>
    </row>
    <row r="7" spans="1:2" x14ac:dyDescent="0.2">
      <c r="A7">
        <v>159.29545531453999</v>
      </c>
      <c r="B7">
        <v>82.492809041995102</v>
      </c>
    </row>
    <row r="8" spans="1:2" x14ac:dyDescent="0.2">
      <c r="A8">
        <v>169.962607018375</v>
      </c>
      <c r="B8">
        <v>88.754864471591404</v>
      </c>
    </row>
    <row r="9" spans="1:2" x14ac:dyDescent="0.2">
      <c r="A9">
        <v>189.65356502317999</v>
      </c>
      <c r="B9">
        <v>88.646407904977806</v>
      </c>
    </row>
    <row r="10" spans="1:2" x14ac:dyDescent="0.2">
      <c r="A10">
        <v>200.61089303238401</v>
      </c>
      <c r="B10">
        <v>92.382322087239004</v>
      </c>
    </row>
    <row r="11" spans="1:2" x14ac:dyDescent="0.2">
      <c r="A11">
        <v>210.17571317383499</v>
      </c>
      <c r="B11">
        <v>92.147473858752605</v>
      </c>
    </row>
    <row r="12" spans="1:2" x14ac:dyDescent="0.2">
      <c r="A12">
        <v>220.288738113769</v>
      </c>
      <c r="B12">
        <v>96.003180941423196</v>
      </c>
    </row>
    <row r="13" spans="1:2" x14ac:dyDescent="0.2">
      <c r="A13">
        <v>239.97800412845501</v>
      </c>
      <c r="B13">
        <v>96.375926364590001</v>
      </c>
    </row>
    <row r="14" spans="1:2" x14ac:dyDescent="0.2">
      <c r="A14">
        <v>249.53013434401501</v>
      </c>
      <c r="B14">
        <v>99.750093059456503</v>
      </c>
    </row>
    <row r="15" spans="1:2" x14ac:dyDescent="0.2">
      <c r="A15">
        <v>259.38809177354398</v>
      </c>
      <c r="B15">
        <v>96.147000101519396</v>
      </c>
    </row>
    <row r="16" spans="1:2" x14ac:dyDescent="0.2">
      <c r="A16">
        <v>270.078085343981</v>
      </c>
      <c r="B16">
        <v>95.912828669080497</v>
      </c>
    </row>
    <row r="17" spans="1:2" x14ac:dyDescent="0.2">
      <c r="A17">
        <v>280.18984129132599</v>
      </c>
      <c r="B17">
        <v>100.12943724408601</v>
      </c>
    </row>
    <row r="18" spans="1:2" x14ac:dyDescent="0.2">
      <c r="A18">
        <v>289.75466143277703</v>
      </c>
      <c r="B18">
        <v>99.894589015600104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5E6F-4EAC-9749-AB81-9516078E3AE1}">
  <dimension ref="A1:B19"/>
  <sheetViews>
    <sheetView workbookViewId="0">
      <selection activeCell="B2" sqref="B2"/>
    </sheetView>
  </sheetViews>
  <sheetFormatPr baseColWidth="10" defaultColWidth="11" defaultRowHeight="16" x14ac:dyDescent="0.2"/>
  <sheetData>
    <row r="1" spans="1:2" x14ac:dyDescent="0.2">
      <c r="A1" t="s">
        <v>1</v>
      </c>
      <c r="B1" t="s">
        <v>6</v>
      </c>
    </row>
    <row r="2" spans="1:2" x14ac:dyDescent="0.2">
      <c r="A2">
        <v>90.4071206049273</v>
      </c>
      <c r="B2">
        <v>74.853474818061102</v>
      </c>
    </row>
    <row r="3" spans="1:2" x14ac:dyDescent="0.2">
      <c r="A3">
        <v>101.92593900838</v>
      </c>
      <c r="B3">
        <v>84.219433636246094</v>
      </c>
    </row>
    <row r="4" spans="1:2" x14ac:dyDescent="0.2">
      <c r="A4">
        <v>110.30504913304701</v>
      </c>
      <c r="B4">
        <v>91.578775834223904</v>
      </c>
    </row>
    <row r="5" spans="1:2" x14ac:dyDescent="0.2">
      <c r="A5">
        <v>121.28055452885199</v>
      </c>
      <c r="B5">
        <v>94.473629108759098</v>
      </c>
    </row>
    <row r="6" spans="1:2" x14ac:dyDescent="0.2">
      <c r="A6">
        <v>130.17384559641499</v>
      </c>
      <c r="B6">
        <v>99.378012209976603</v>
      </c>
    </row>
    <row r="7" spans="1:2" x14ac:dyDescent="0.2">
      <c r="A7">
        <v>140.105694772433</v>
      </c>
      <c r="B7">
        <v>102.49659974181699</v>
      </c>
    </row>
    <row r="8" spans="1:2" x14ac:dyDescent="0.2">
      <c r="A8">
        <v>150.541164517873</v>
      </c>
      <c r="B8">
        <v>99.924529744748497</v>
      </c>
    </row>
    <row r="9" spans="1:2" x14ac:dyDescent="0.2">
      <c r="A9">
        <v>160.48211746412599</v>
      </c>
      <c r="B9">
        <v>105.832512476717</v>
      </c>
    </row>
    <row r="10" spans="1:2" x14ac:dyDescent="0.2">
      <c r="A10">
        <v>175.88606085324099</v>
      </c>
      <c r="B10">
        <v>105.600766901604</v>
      </c>
    </row>
    <row r="11" spans="1:2" x14ac:dyDescent="0.2">
      <c r="A11">
        <v>190.24634802257</v>
      </c>
      <c r="B11">
        <v>105.592755583797</v>
      </c>
    </row>
    <row r="12" spans="1:2" x14ac:dyDescent="0.2">
      <c r="A12">
        <v>200.41088956580401</v>
      </c>
      <c r="B12">
        <v>100.008284430914</v>
      </c>
    </row>
    <row r="13" spans="1:2" x14ac:dyDescent="0.2">
      <c r="A13">
        <v>210.324167050542</v>
      </c>
      <c r="B13">
        <v>97.436505754493098</v>
      </c>
    </row>
    <row r="14" spans="1:2" x14ac:dyDescent="0.2">
      <c r="A14">
        <v>221.299308295537</v>
      </c>
      <c r="B14">
        <v>100.21978322102299</v>
      </c>
    </row>
    <row r="15" spans="1:2" x14ac:dyDescent="0.2">
      <c r="A15">
        <v>229.933688137605</v>
      </c>
      <c r="B15">
        <v>105.793766830595</v>
      </c>
    </row>
    <row r="16" spans="1:2" x14ac:dyDescent="0.2">
      <c r="A16">
        <v>245.599091807881</v>
      </c>
      <c r="B16">
        <v>105.67345140316399</v>
      </c>
    </row>
    <row r="17" spans="1:2" x14ac:dyDescent="0.2">
      <c r="A17">
        <v>260.74230321745398</v>
      </c>
      <c r="B17">
        <v>105.55342729637999</v>
      </c>
    </row>
    <row r="18" spans="1:2" x14ac:dyDescent="0.2">
      <c r="A18">
        <v>270.907208911498</v>
      </c>
      <c r="B18">
        <v>100.080531951502</v>
      </c>
    </row>
    <row r="19" spans="1:2" x14ac:dyDescent="0.2">
      <c r="A19">
        <v>290.48978283866398</v>
      </c>
      <c r="B19">
        <v>100.18118323522501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2D93-16FF-6A4F-83BF-87D1C92809BA}">
  <dimension ref="A1:B18"/>
  <sheetViews>
    <sheetView workbookViewId="0"/>
  </sheetViews>
  <sheetFormatPr baseColWidth="10" defaultColWidth="11" defaultRowHeight="16" x14ac:dyDescent="0.2"/>
  <sheetData>
    <row r="1" spans="1:2" x14ac:dyDescent="0.2">
      <c r="A1">
        <v>90.438801725346494</v>
      </c>
      <c r="B1">
        <v>84.5605701145072</v>
      </c>
    </row>
    <row r="2" spans="1:2" x14ac:dyDescent="0.2">
      <c r="A2">
        <v>98.545162893760804</v>
      </c>
      <c r="B2">
        <v>88.349632116644699</v>
      </c>
    </row>
    <row r="3" spans="1:2" x14ac:dyDescent="0.2">
      <c r="A3">
        <v>110.580347144966</v>
      </c>
      <c r="B3">
        <v>95.930086686100097</v>
      </c>
    </row>
    <row r="4" spans="1:2" x14ac:dyDescent="0.2">
      <c r="A4">
        <v>120.761639625434</v>
      </c>
      <c r="B4">
        <v>95.478102701452698</v>
      </c>
    </row>
    <row r="5" spans="1:2" x14ac:dyDescent="0.2">
      <c r="A5">
        <v>130.17530219965201</v>
      </c>
      <c r="B5">
        <v>99.824315441997101</v>
      </c>
    </row>
    <row r="6" spans="1:2" x14ac:dyDescent="0.2">
      <c r="A6">
        <v>140.62206062018501</v>
      </c>
      <c r="B6">
        <v>100.711095493087</v>
      </c>
    </row>
    <row r="7" spans="1:2" x14ac:dyDescent="0.2">
      <c r="A7">
        <v>150.80007574336801</v>
      </c>
      <c r="B7">
        <v>99.254929236393906</v>
      </c>
    </row>
    <row r="8" spans="1:2" x14ac:dyDescent="0.2">
      <c r="A8">
        <v>160.471192939844</v>
      </c>
      <c r="B8">
        <v>102.48523823656301</v>
      </c>
    </row>
    <row r="9" spans="1:2" x14ac:dyDescent="0.2">
      <c r="A9">
        <v>170.65649107921499</v>
      </c>
      <c r="B9">
        <v>103.260588139972</v>
      </c>
    </row>
    <row r="10" spans="1:2" x14ac:dyDescent="0.2">
      <c r="A10">
        <v>182.40290373855399</v>
      </c>
      <c r="B10">
        <v>102.361426961361</v>
      </c>
    </row>
    <row r="11" spans="1:2" x14ac:dyDescent="0.2">
      <c r="A11">
        <v>200.41453107389799</v>
      </c>
      <c r="B11">
        <v>101.124042510965</v>
      </c>
    </row>
    <row r="12" spans="1:2" x14ac:dyDescent="0.2">
      <c r="A12">
        <v>211.12384222802001</v>
      </c>
      <c r="B12">
        <v>102.456980133752</v>
      </c>
    </row>
    <row r="13" spans="1:2" x14ac:dyDescent="0.2">
      <c r="A13">
        <v>230.43694455621801</v>
      </c>
      <c r="B13">
        <v>99.991533493681004</v>
      </c>
    </row>
    <row r="14" spans="1:2" x14ac:dyDescent="0.2">
      <c r="A14">
        <v>240.88843693727301</v>
      </c>
      <c r="B14">
        <v>102.32879904883799</v>
      </c>
    </row>
    <row r="15" spans="1:2" x14ac:dyDescent="0.2">
      <c r="A15">
        <v>250.81118234305501</v>
      </c>
      <c r="B15">
        <v>102.65799138055</v>
      </c>
    </row>
    <row r="16" spans="1:2" x14ac:dyDescent="0.2">
      <c r="A16">
        <v>262.298683776899</v>
      </c>
      <c r="B16">
        <v>102.42843071029399</v>
      </c>
    </row>
    <row r="17" spans="1:2" x14ac:dyDescent="0.2">
      <c r="A17">
        <v>278.48300235059298</v>
      </c>
      <c r="B17">
        <v>101.303641690169</v>
      </c>
    </row>
    <row r="18" spans="1:2" x14ac:dyDescent="0.2">
      <c r="A18">
        <v>289.70649444761</v>
      </c>
      <c r="B18">
        <v>100.18162021619599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0987-65F8-5440-830D-42041B7FD317}">
  <dimension ref="A1:B14"/>
  <sheetViews>
    <sheetView workbookViewId="0"/>
  </sheetViews>
  <sheetFormatPr baseColWidth="10" defaultColWidth="11" defaultRowHeight="16" x14ac:dyDescent="0.2"/>
  <sheetData>
    <row r="1" spans="1:2" x14ac:dyDescent="0.2">
      <c r="A1">
        <v>90.454824360960799</v>
      </c>
      <c r="B1">
        <v>89.469905666732799</v>
      </c>
    </row>
    <row r="2" spans="1:2" x14ac:dyDescent="0.2">
      <c r="A2">
        <v>100.93253560029299</v>
      </c>
      <c r="B2">
        <v>99.840629398258997</v>
      </c>
    </row>
    <row r="3" spans="1:2" x14ac:dyDescent="0.2">
      <c r="A3">
        <v>112.159669205404</v>
      </c>
      <c r="B3">
        <v>99.834366004336999</v>
      </c>
    </row>
    <row r="4" spans="1:2" x14ac:dyDescent="0.2">
      <c r="A4">
        <v>137.74599752741599</v>
      </c>
      <c r="B4">
        <v>99.485363868592501</v>
      </c>
    </row>
    <row r="5" spans="1:2" x14ac:dyDescent="0.2">
      <c r="A5">
        <v>160.98391727950201</v>
      </c>
      <c r="B5">
        <v>99.583975907782403</v>
      </c>
    </row>
    <row r="6" spans="1:2" x14ac:dyDescent="0.2">
      <c r="A6">
        <v>170.91212494742501</v>
      </c>
      <c r="B6">
        <v>101.586805359571</v>
      </c>
    </row>
    <row r="7" spans="1:2" x14ac:dyDescent="0.2">
      <c r="A7">
        <v>181.08904761817999</v>
      </c>
      <c r="B7">
        <v>99.795911678862595</v>
      </c>
    </row>
    <row r="8" spans="1:2" x14ac:dyDescent="0.2">
      <c r="A8">
        <v>200.67125739453701</v>
      </c>
      <c r="B8">
        <v>99.784987154580193</v>
      </c>
    </row>
    <row r="9" spans="1:2" x14ac:dyDescent="0.2">
      <c r="A9">
        <v>210.32125384406601</v>
      </c>
      <c r="B9">
        <v>96.543899290452103</v>
      </c>
    </row>
    <row r="10" spans="1:2" x14ac:dyDescent="0.2">
      <c r="A10">
        <v>221.299308295537</v>
      </c>
      <c r="B10">
        <v>100.21978322102299</v>
      </c>
    </row>
    <row r="11" spans="1:2" x14ac:dyDescent="0.2">
      <c r="A11">
        <v>244.79577512230901</v>
      </c>
      <c r="B11">
        <v>99.537218943853404</v>
      </c>
    </row>
    <row r="12" spans="1:2" x14ac:dyDescent="0.2">
      <c r="A12">
        <v>261.24592378687697</v>
      </c>
      <c r="B12">
        <v>99.862769767471505</v>
      </c>
    </row>
    <row r="13" spans="1:2" x14ac:dyDescent="0.2">
      <c r="A13">
        <v>280.30557715172102</v>
      </c>
      <c r="B13">
        <v>99.740560755831396</v>
      </c>
    </row>
    <row r="14" spans="1:2" x14ac:dyDescent="0.2">
      <c r="A14">
        <v>289.96686227634302</v>
      </c>
      <c r="B14">
        <v>99.958322939862299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1098-3140-1445-8A34-58E60970723E}">
  <dimension ref="A1:B16"/>
  <sheetViews>
    <sheetView workbookViewId="0"/>
  </sheetViews>
  <sheetFormatPr baseColWidth="10" defaultColWidth="11" defaultRowHeight="16" x14ac:dyDescent="0.2"/>
  <sheetData>
    <row r="1" spans="1:2" x14ac:dyDescent="0.2">
      <c r="A1">
        <v>90.455552662579606</v>
      </c>
      <c r="B1">
        <v>89.693057282742998</v>
      </c>
    </row>
    <row r="2" spans="1:2" x14ac:dyDescent="0.2">
      <c r="A2">
        <v>100.673624374798</v>
      </c>
      <c r="B2">
        <v>100.51022990661301</v>
      </c>
    </row>
    <row r="3" spans="1:2" x14ac:dyDescent="0.2">
      <c r="A3">
        <v>111.11965449371201</v>
      </c>
      <c r="B3">
        <v>101.17385834169301</v>
      </c>
    </row>
    <row r="4" spans="1:2" x14ac:dyDescent="0.2">
      <c r="A4">
        <v>120.515473678269</v>
      </c>
      <c r="B4">
        <v>100.052856489986</v>
      </c>
    </row>
    <row r="5" spans="1:2" x14ac:dyDescent="0.2">
      <c r="A5">
        <v>131.22259992753399</v>
      </c>
      <c r="B5">
        <v>100.716339264743</v>
      </c>
    </row>
    <row r="6" spans="1:2" x14ac:dyDescent="0.2">
      <c r="A6">
        <v>139.83513072103599</v>
      </c>
      <c r="B6">
        <v>99.595774394007506</v>
      </c>
    </row>
    <row r="7" spans="1:2" x14ac:dyDescent="0.2">
      <c r="A7">
        <v>160.20572699977899</v>
      </c>
      <c r="B7">
        <v>101.146474200825</v>
      </c>
    </row>
    <row r="8" spans="1:2" x14ac:dyDescent="0.2">
      <c r="A8">
        <v>170.906662685284</v>
      </c>
      <c r="B8">
        <v>99.913168239494695</v>
      </c>
    </row>
    <row r="9" spans="1:2" x14ac:dyDescent="0.2">
      <c r="A9">
        <v>182.13525289363301</v>
      </c>
      <c r="B9">
        <v>100.353208077593</v>
      </c>
    </row>
    <row r="10" spans="1:2" x14ac:dyDescent="0.2">
      <c r="A10">
        <v>182.13525289363301</v>
      </c>
      <c r="B10">
        <v>100.353208077593</v>
      </c>
    </row>
    <row r="11" spans="1:2" x14ac:dyDescent="0.2">
      <c r="A11">
        <v>203.54367897921199</v>
      </c>
      <c r="B11">
        <v>99.894960699023898</v>
      </c>
    </row>
    <row r="12" spans="1:2" x14ac:dyDescent="0.2">
      <c r="A12">
        <v>223.908812995814</v>
      </c>
      <c r="B12">
        <v>99.772023385764896</v>
      </c>
    </row>
    <row r="13" spans="1:2" x14ac:dyDescent="0.2">
      <c r="A13">
        <v>250.01879018176501</v>
      </c>
      <c r="B13">
        <v>99.869033161393403</v>
      </c>
    </row>
    <row r="14" spans="1:2" x14ac:dyDescent="0.2">
      <c r="A14">
        <v>262.55286104187098</v>
      </c>
      <c r="B14">
        <v>100.308344697873</v>
      </c>
    </row>
    <row r="15" spans="1:2" x14ac:dyDescent="0.2">
      <c r="A15">
        <v>279.00337385724902</v>
      </c>
      <c r="B15">
        <v>100.745471329496</v>
      </c>
    </row>
    <row r="16" spans="1:2" x14ac:dyDescent="0.2">
      <c r="A16">
        <v>289.96686227634302</v>
      </c>
      <c r="B16">
        <v>99.958322939862299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comd</vt:lpstr>
      <vt:lpstr>xsbench</vt:lpstr>
      <vt:lpstr>minife</vt:lpstr>
      <vt:lpstr>swfft</vt:lpstr>
      <vt:lpstr>simple_moc</vt:lpstr>
      <vt:lpstr>minimd</vt:lpstr>
      <vt:lpstr>hpccg</vt:lpstr>
      <vt:lpstr>rsbench</vt:lpstr>
      <vt:lpstr>aspa</vt:lpstr>
      <vt:lpstr>cohmm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Bin Rahim, Imtiaz</cp:lastModifiedBy>
  <cp:revision/>
  <dcterms:created xsi:type="dcterms:W3CDTF">2021-07-13T15:36:02Z</dcterms:created>
  <dcterms:modified xsi:type="dcterms:W3CDTF">2025-07-01T16:32:38Z</dcterms:modified>
  <cp:category/>
  <cp:contentStatus/>
</cp:coreProperties>
</file>