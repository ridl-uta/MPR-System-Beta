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mtiazevan/Desktop/Projects/temp/MPR_System_Beta/job_scheduler/data/"/>
    </mc:Choice>
  </mc:AlternateContent>
  <xr:revisionPtr revIDLastSave="0" documentId="13_ncr:1_{6A479DE6-2FE6-A640-871F-73D0BC1CF9C2}" xr6:coauthVersionLast="47" xr6:coauthVersionMax="47" xr10:uidLastSave="{00000000-0000-0000-0000-000000000000}"/>
  <bookViews>
    <workbookView xWindow="920" yWindow="500" windowWidth="28800" windowHeight="16300" activeTab="5" xr2:uid="{15444B7F-6FA5-5E4D-9AAE-4CEB8B7D2F02}"/>
  </bookViews>
  <sheets>
    <sheet name="minimd_rank2" sheetId="20" r:id="rId1"/>
    <sheet name="minimd_rank4" sheetId="14" r:id="rId2"/>
    <sheet name="comd_rank2" sheetId="18" r:id="rId3"/>
    <sheet name="comd_rank4" sheetId="19" r:id="rId4"/>
    <sheet name="xsbench_rank2" sheetId="15" r:id="rId5"/>
    <sheet name="xsbench_rank4" sheetId="17" r:id="rId6"/>
    <sheet name="hpccg_rank2" sheetId="13" r:id="rId7"/>
    <sheet name="hpccg_rank4" sheetId="21" r:id="rId8"/>
    <sheet name="minife" sheetId="6" r:id="rId9"/>
    <sheet name="swfft" sheetId="5" r:id="rId10"/>
    <sheet name="simple_moc" sheetId="4" r:id="rId11"/>
    <sheet name="rsbench" sheetId="9" r:id="rId12"/>
    <sheet name="aspa" sheetId="10" r:id="rId13"/>
    <sheet name="cohmm" sheetId="11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3" l="1"/>
  <c r="D4" i="13"/>
  <c r="D3" i="13"/>
  <c r="D13" i="21"/>
  <c r="D10" i="21"/>
  <c r="D9" i="21"/>
  <c r="D3" i="21"/>
  <c r="E3" i="21" s="1"/>
  <c r="D2" i="21"/>
  <c r="D13" i="13"/>
  <c r="D11" i="13"/>
  <c r="D5" i="13"/>
  <c r="D16" i="21"/>
  <c r="E16" i="21" s="1"/>
  <c r="A16" i="21"/>
  <c r="G16" i="21" s="1"/>
  <c r="D15" i="21"/>
  <c r="E15" i="21" s="1"/>
  <c r="A15" i="21"/>
  <c r="D14" i="21"/>
  <c r="A14" i="21"/>
  <c r="A13" i="21"/>
  <c r="D12" i="21"/>
  <c r="E12" i="21" s="1"/>
  <c r="A12" i="21"/>
  <c r="D11" i="21"/>
  <c r="E11" i="21" s="1"/>
  <c r="A11" i="21"/>
  <c r="A10" i="21"/>
  <c r="A9" i="21"/>
  <c r="D8" i="21"/>
  <c r="E8" i="21" s="1"/>
  <c r="A8" i="21"/>
  <c r="D7" i="21"/>
  <c r="E7" i="21" s="1"/>
  <c r="A7" i="21"/>
  <c r="D6" i="21"/>
  <c r="A6" i="21"/>
  <c r="D5" i="21"/>
  <c r="A5" i="21"/>
  <c r="D4" i="21"/>
  <c r="E4" i="21" s="1"/>
  <c r="A4" i="21"/>
  <c r="A3" i="21"/>
  <c r="A2" i="21"/>
  <c r="D16" i="20"/>
  <c r="E13" i="20" s="1"/>
  <c r="A16" i="20"/>
  <c r="G16" i="20" s="1"/>
  <c r="D15" i="20"/>
  <c r="A15" i="20"/>
  <c r="D14" i="20"/>
  <c r="E14" i="20" s="1"/>
  <c r="A14" i="20"/>
  <c r="D13" i="20"/>
  <c r="A13" i="20"/>
  <c r="E12" i="20"/>
  <c r="D12" i="20"/>
  <c r="A12" i="20"/>
  <c r="D11" i="20"/>
  <c r="E11" i="20" s="1"/>
  <c r="A11" i="20"/>
  <c r="D10" i="20"/>
  <c r="E10" i="20" s="1"/>
  <c r="A10" i="20"/>
  <c r="D9" i="20"/>
  <c r="E9" i="20" s="1"/>
  <c r="A9" i="20"/>
  <c r="D8" i="20"/>
  <c r="E8" i="20" s="1"/>
  <c r="A8" i="20"/>
  <c r="G7" i="20"/>
  <c r="D7" i="20"/>
  <c r="A7" i="20"/>
  <c r="D6" i="20"/>
  <c r="E6" i="20" s="1"/>
  <c r="A6" i="20"/>
  <c r="D5" i="20"/>
  <c r="E5" i="20" s="1"/>
  <c r="A5" i="20"/>
  <c r="G4" i="20"/>
  <c r="E4" i="20"/>
  <c r="F4" i="20" s="1"/>
  <c r="D4" i="20"/>
  <c r="A4" i="20"/>
  <c r="D3" i="20"/>
  <c r="E3" i="20" s="1"/>
  <c r="A3" i="20"/>
  <c r="D2" i="20"/>
  <c r="E2" i="20" s="1"/>
  <c r="A2" i="20"/>
  <c r="D16" i="19"/>
  <c r="E13" i="19" s="1"/>
  <c r="A16" i="19"/>
  <c r="G16" i="19" s="1"/>
  <c r="D15" i="19"/>
  <c r="A15" i="19"/>
  <c r="D14" i="19"/>
  <c r="A14" i="19"/>
  <c r="D13" i="19"/>
  <c r="A13" i="19"/>
  <c r="D12" i="19"/>
  <c r="E12" i="19" s="1"/>
  <c r="A12" i="19"/>
  <c r="D11" i="19"/>
  <c r="E11" i="19" s="1"/>
  <c r="A11" i="19"/>
  <c r="D10" i="19"/>
  <c r="A10" i="19"/>
  <c r="D9" i="19"/>
  <c r="A9" i="19"/>
  <c r="D8" i="19"/>
  <c r="E8" i="19" s="1"/>
  <c r="A8" i="19"/>
  <c r="D7" i="19"/>
  <c r="A7" i="19"/>
  <c r="D6" i="19"/>
  <c r="A6" i="19"/>
  <c r="D5" i="19"/>
  <c r="A5" i="19"/>
  <c r="E4" i="19"/>
  <c r="D4" i="19"/>
  <c r="A4" i="19"/>
  <c r="D3" i="19"/>
  <c r="A3" i="19"/>
  <c r="D2" i="19"/>
  <c r="A2" i="19"/>
  <c r="D16" i="18"/>
  <c r="E16" i="18" s="1"/>
  <c r="A16" i="18"/>
  <c r="G16" i="18" s="1"/>
  <c r="G15" i="18"/>
  <c r="D15" i="18"/>
  <c r="A15" i="18"/>
  <c r="D14" i="18"/>
  <c r="A14" i="18"/>
  <c r="D13" i="18"/>
  <c r="A13" i="18"/>
  <c r="D12" i="18"/>
  <c r="E12" i="18" s="1"/>
  <c r="A12" i="18"/>
  <c r="D11" i="18"/>
  <c r="A11" i="18"/>
  <c r="D10" i="18"/>
  <c r="A10" i="18"/>
  <c r="D9" i="18"/>
  <c r="E9" i="18" s="1"/>
  <c r="A9" i="18"/>
  <c r="D8" i="18"/>
  <c r="A8" i="18"/>
  <c r="D7" i="18"/>
  <c r="A7" i="18"/>
  <c r="D6" i="18"/>
  <c r="E6" i="18" s="1"/>
  <c r="A6" i="18"/>
  <c r="D5" i="18"/>
  <c r="E5" i="18" s="1"/>
  <c r="A5" i="18"/>
  <c r="D4" i="18"/>
  <c r="A4" i="18"/>
  <c r="D3" i="18"/>
  <c r="E3" i="18" s="1"/>
  <c r="A3" i="18"/>
  <c r="G2" i="18"/>
  <c r="D2" i="18"/>
  <c r="A2" i="18"/>
  <c r="D13" i="17"/>
  <c r="D10" i="17"/>
  <c r="D9" i="17"/>
  <c r="D4" i="17"/>
  <c r="D2" i="17"/>
  <c r="D12" i="17"/>
  <c r="A16" i="17"/>
  <c r="G16" i="17" s="1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A2" i="13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G16" i="13" s="1"/>
  <c r="D6" i="13"/>
  <c r="D7" i="13"/>
  <c r="D8" i="13"/>
  <c r="D10" i="13"/>
  <c r="D12" i="13"/>
  <c r="D14" i="13"/>
  <c r="D15" i="13"/>
  <c r="D16" i="13"/>
  <c r="D16" i="15"/>
  <c r="A16" i="15"/>
  <c r="G16" i="15" s="1"/>
  <c r="D15" i="15"/>
  <c r="E15" i="15" s="1"/>
  <c r="A15" i="15"/>
  <c r="D14" i="15"/>
  <c r="A14" i="15"/>
  <c r="D13" i="15"/>
  <c r="A13" i="15"/>
  <c r="D12" i="15"/>
  <c r="E12" i="15" s="1"/>
  <c r="A12" i="15"/>
  <c r="D11" i="15"/>
  <c r="E11" i="15" s="1"/>
  <c r="A11" i="15"/>
  <c r="D10" i="15"/>
  <c r="A10" i="15"/>
  <c r="D9" i="15"/>
  <c r="A9" i="15"/>
  <c r="D8" i="15"/>
  <c r="E8" i="15" s="1"/>
  <c r="A8" i="15"/>
  <c r="D7" i="15"/>
  <c r="A7" i="15"/>
  <c r="D6" i="15"/>
  <c r="A6" i="15"/>
  <c r="D5" i="15"/>
  <c r="E5" i="15" s="1"/>
  <c r="A5" i="15"/>
  <c r="G5" i="15" s="1"/>
  <c r="D4" i="15"/>
  <c r="E4" i="15" s="1"/>
  <c r="A4" i="15"/>
  <c r="D3" i="15"/>
  <c r="A3" i="15"/>
  <c r="D2" i="15"/>
  <c r="A2" i="15"/>
  <c r="D16" i="14"/>
  <c r="E16" i="14" s="1"/>
  <c r="A16" i="14"/>
  <c r="G16" i="14" s="1"/>
  <c r="D15" i="14"/>
  <c r="A15" i="14"/>
  <c r="D14" i="14"/>
  <c r="E14" i="14" s="1"/>
  <c r="A14" i="14"/>
  <c r="D13" i="14"/>
  <c r="A13" i="14"/>
  <c r="D12" i="14"/>
  <c r="E12" i="14" s="1"/>
  <c r="A12" i="14"/>
  <c r="G12" i="14" s="1"/>
  <c r="D11" i="14"/>
  <c r="A11" i="14"/>
  <c r="D10" i="14"/>
  <c r="E10" i="14" s="1"/>
  <c r="A10" i="14"/>
  <c r="D9" i="14"/>
  <c r="A9" i="14"/>
  <c r="D8" i="14"/>
  <c r="E8" i="14" s="1"/>
  <c r="A8" i="14"/>
  <c r="D7" i="14"/>
  <c r="E7" i="14" s="1"/>
  <c r="A7" i="14"/>
  <c r="D6" i="14"/>
  <c r="A6" i="14"/>
  <c r="D5" i="14"/>
  <c r="A5" i="14"/>
  <c r="D4" i="14"/>
  <c r="E4" i="14" s="1"/>
  <c r="A4" i="14"/>
  <c r="D3" i="14"/>
  <c r="E3" i="14" s="1"/>
  <c r="A3" i="14"/>
  <c r="D2" i="14"/>
  <c r="A2" i="14"/>
  <c r="D2" i="13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" i="6"/>
  <c r="E10" i="21" l="1"/>
  <c r="E2" i="21"/>
  <c r="G12" i="21"/>
  <c r="F12" i="21" s="1"/>
  <c r="E9" i="21"/>
  <c r="G4" i="21"/>
  <c r="F4" i="21" s="1"/>
  <c r="E13" i="21"/>
  <c r="G7" i="21"/>
  <c r="F7" i="21" s="1"/>
  <c r="G15" i="21"/>
  <c r="F15" i="21" s="1"/>
  <c r="G13" i="21"/>
  <c r="G5" i="21"/>
  <c r="E5" i="21"/>
  <c r="F5" i="21" s="1"/>
  <c r="G2" i="21"/>
  <c r="F2" i="21" s="1"/>
  <c r="G6" i="21"/>
  <c r="G10" i="21"/>
  <c r="F10" i="21" s="1"/>
  <c r="E6" i="21"/>
  <c r="F6" i="21" s="1"/>
  <c r="E14" i="21"/>
  <c r="E9" i="15"/>
  <c r="E13" i="15"/>
  <c r="G2" i="15"/>
  <c r="E3" i="15"/>
  <c r="E7" i="15"/>
  <c r="F7" i="15" s="1"/>
  <c r="G10" i="15"/>
  <c r="E14" i="15"/>
  <c r="G13" i="15"/>
  <c r="F13" i="15" s="1"/>
  <c r="E6" i="15"/>
  <c r="G7" i="15"/>
  <c r="G15" i="15"/>
  <c r="E2" i="19"/>
  <c r="E5" i="19"/>
  <c r="E6" i="19"/>
  <c r="E10" i="19"/>
  <c r="F10" i="19" s="1"/>
  <c r="E9" i="19"/>
  <c r="E3" i="19"/>
  <c r="F3" i="19" s="1"/>
  <c r="E14" i="19"/>
  <c r="E2" i="18"/>
  <c r="F2" i="18" s="1"/>
  <c r="E8" i="18"/>
  <c r="E10" i="18"/>
  <c r="G10" i="18"/>
  <c r="E13" i="18"/>
  <c r="E4" i="18"/>
  <c r="F4" i="18" s="1"/>
  <c r="G7" i="18"/>
  <c r="E14" i="18"/>
  <c r="F14" i="18" s="1"/>
  <c r="G4" i="18"/>
  <c r="E11" i="18"/>
  <c r="G15" i="14"/>
  <c r="G4" i="14"/>
  <c r="G7" i="14"/>
  <c r="F7" i="14" s="1"/>
  <c r="E11" i="14"/>
  <c r="E15" i="14"/>
  <c r="F15" i="14" s="1"/>
  <c r="E5" i="14"/>
  <c r="G5" i="14"/>
  <c r="E2" i="14"/>
  <c r="F2" i="14" s="1"/>
  <c r="E9" i="14"/>
  <c r="E13" i="14"/>
  <c r="G2" i="14"/>
  <c r="E6" i="14"/>
  <c r="G10" i="14"/>
  <c r="F10" i="14" s="1"/>
  <c r="G2" i="20"/>
  <c r="F2" i="20" s="1"/>
  <c r="G15" i="20"/>
  <c r="F10" i="20"/>
  <c r="G10" i="20"/>
  <c r="F16" i="21"/>
  <c r="G9" i="21"/>
  <c r="G14" i="21"/>
  <c r="G3" i="21"/>
  <c r="F3" i="21" s="1"/>
  <c r="G11" i="21"/>
  <c r="F11" i="21" s="1"/>
  <c r="G8" i="21"/>
  <c r="F8" i="21" s="1"/>
  <c r="F9" i="20"/>
  <c r="F3" i="20"/>
  <c r="F6" i="20"/>
  <c r="G9" i="20"/>
  <c r="G5" i="20"/>
  <c r="F5" i="20" s="1"/>
  <c r="E7" i="20"/>
  <c r="F7" i="20" s="1"/>
  <c r="G13" i="20"/>
  <c r="F13" i="20" s="1"/>
  <c r="E15" i="20"/>
  <c r="F15" i="20" s="1"/>
  <c r="G6" i="20"/>
  <c r="G14" i="20"/>
  <c r="F14" i="20" s="1"/>
  <c r="E16" i="20"/>
  <c r="F16" i="20" s="1"/>
  <c r="G3" i="20"/>
  <c r="G11" i="20"/>
  <c r="F11" i="20" s="1"/>
  <c r="G12" i="20"/>
  <c r="F12" i="20" s="1"/>
  <c r="G8" i="20"/>
  <c r="F8" i="20" s="1"/>
  <c r="F13" i="19"/>
  <c r="G2" i="19"/>
  <c r="F2" i="19" s="1"/>
  <c r="G4" i="19"/>
  <c r="F4" i="19" s="1"/>
  <c r="G5" i="19"/>
  <c r="F5" i="19" s="1"/>
  <c r="E7" i="19"/>
  <c r="G13" i="19"/>
  <c r="E15" i="19"/>
  <c r="G15" i="19"/>
  <c r="G9" i="19"/>
  <c r="F9" i="19" s="1"/>
  <c r="G12" i="19"/>
  <c r="F12" i="19" s="1"/>
  <c r="G6" i="19"/>
  <c r="F6" i="19" s="1"/>
  <c r="G14" i="19"/>
  <c r="F14" i="19" s="1"/>
  <c r="E16" i="19"/>
  <c r="F16" i="19" s="1"/>
  <c r="G7" i="19"/>
  <c r="G3" i="19"/>
  <c r="G11" i="19"/>
  <c r="F11" i="19" s="1"/>
  <c r="G10" i="19"/>
  <c r="G8" i="19"/>
  <c r="F8" i="19" s="1"/>
  <c r="F16" i="18"/>
  <c r="G9" i="18"/>
  <c r="F9" i="18" s="1"/>
  <c r="G5" i="18"/>
  <c r="F5" i="18" s="1"/>
  <c r="E7" i="18"/>
  <c r="G13" i="18"/>
  <c r="E15" i="18"/>
  <c r="F15" i="18" s="1"/>
  <c r="G6" i="18"/>
  <c r="F6" i="18" s="1"/>
  <c r="G14" i="18"/>
  <c r="G3" i="18"/>
  <c r="F3" i="18" s="1"/>
  <c r="G11" i="18"/>
  <c r="F11" i="18" s="1"/>
  <c r="G12" i="18"/>
  <c r="F12" i="18" s="1"/>
  <c r="G8" i="18"/>
  <c r="F8" i="18" s="1"/>
  <c r="F4" i="14"/>
  <c r="F12" i="14"/>
  <c r="E4" i="13"/>
  <c r="D3" i="17"/>
  <c r="D11" i="17"/>
  <c r="D6" i="17"/>
  <c r="D14" i="17"/>
  <c r="D5" i="17"/>
  <c r="D7" i="17"/>
  <c r="D15" i="17"/>
  <c r="D16" i="17"/>
  <c r="G2" i="17"/>
  <c r="G12" i="17"/>
  <c r="G13" i="17"/>
  <c r="G4" i="17"/>
  <c r="G10" i="17"/>
  <c r="G7" i="17"/>
  <c r="G5" i="17"/>
  <c r="G15" i="17"/>
  <c r="D8" i="17"/>
  <c r="G6" i="17"/>
  <c r="G14" i="17"/>
  <c r="G3" i="17"/>
  <c r="G11" i="17"/>
  <c r="G9" i="17"/>
  <c r="G8" i="17"/>
  <c r="E10" i="13"/>
  <c r="E8" i="13"/>
  <c r="E15" i="13"/>
  <c r="E6" i="13"/>
  <c r="E7" i="13"/>
  <c r="F7" i="13" s="1"/>
  <c r="E14" i="13"/>
  <c r="E16" i="13"/>
  <c r="F16" i="13" s="1"/>
  <c r="E11" i="13"/>
  <c r="E3" i="13"/>
  <c r="E2" i="13"/>
  <c r="E9" i="13"/>
  <c r="E13" i="13"/>
  <c r="E5" i="13"/>
  <c r="E12" i="13"/>
  <c r="G7" i="13"/>
  <c r="G15" i="13"/>
  <c r="G14" i="13"/>
  <c r="G6" i="13"/>
  <c r="G2" i="13"/>
  <c r="G3" i="13"/>
  <c r="G10" i="13"/>
  <c r="G9" i="13"/>
  <c r="G8" i="13"/>
  <c r="G13" i="13"/>
  <c r="G5" i="13"/>
  <c r="G12" i="13"/>
  <c r="G4" i="13"/>
  <c r="G11" i="13"/>
  <c r="F15" i="15"/>
  <c r="F5" i="15"/>
  <c r="E10" i="15"/>
  <c r="F10" i="15" s="1"/>
  <c r="F6" i="15"/>
  <c r="F3" i="15"/>
  <c r="F8" i="15"/>
  <c r="G4" i="15"/>
  <c r="F4" i="15" s="1"/>
  <c r="G6" i="15"/>
  <c r="G14" i="15"/>
  <c r="E16" i="15"/>
  <c r="F16" i="15" s="1"/>
  <c r="G12" i="15"/>
  <c r="F12" i="15" s="1"/>
  <c r="G3" i="15"/>
  <c r="G11" i="15"/>
  <c r="F11" i="15" s="1"/>
  <c r="G9" i="15"/>
  <c r="F9" i="15" s="1"/>
  <c r="E2" i="15"/>
  <c r="F2" i="15" s="1"/>
  <c r="G8" i="15"/>
  <c r="F16" i="14"/>
  <c r="G13" i="14"/>
  <c r="F13" i="14" s="1"/>
  <c r="G14" i="14"/>
  <c r="F14" i="14" s="1"/>
  <c r="G9" i="14"/>
  <c r="F9" i="14" s="1"/>
  <c r="G6" i="14"/>
  <c r="G3" i="14"/>
  <c r="F3" i="14" s="1"/>
  <c r="G11" i="14"/>
  <c r="G8" i="14"/>
  <c r="F8" i="14" s="1"/>
  <c r="F9" i="21" l="1"/>
  <c r="F13" i="21"/>
  <c r="F14" i="21"/>
  <c r="F3" i="13"/>
  <c r="F10" i="13"/>
  <c r="F14" i="15"/>
  <c r="F7" i="19"/>
  <c r="F10" i="18"/>
  <c r="F13" i="18"/>
  <c r="F7" i="18"/>
  <c r="F5" i="14"/>
  <c r="F11" i="14"/>
  <c r="F6" i="14"/>
  <c r="F15" i="19"/>
  <c r="E15" i="17"/>
  <c r="F15" i="17" s="1"/>
  <c r="E6" i="17"/>
  <c r="E5" i="17"/>
  <c r="F5" i="17" s="1"/>
  <c r="E7" i="17"/>
  <c r="F7" i="17" s="1"/>
  <c r="E16" i="17"/>
  <c r="F16" i="17" s="1"/>
  <c r="E9" i="17"/>
  <c r="E11" i="17"/>
  <c r="F11" i="17" s="1"/>
  <c r="E12" i="17"/>
  <c r="F12" i="17" s="1"/>
  <c r="E14" i="17"/>
  <c r="F14" i="17" s="1"/>
  <c r="E2" i="17"/>
  <c r="F2" i="17" s="1"/>
  <c r="E4" i="17"/>
  <c r="F4" i="17" s="1"/>
  <c r="E3" i="17"/>
  <c r="F3" i="17" s="1"/>
  <c r="E13" i="17"/>
  <c r="F13" i="17" s="1"/>
  <c r="E10" i="17"/>
  <c r="F10" i="17" s="1"/>
  <c r="F9" i="17"/>
  <c r="E8" i="17"/>
  <c r="F8" i="17" s="1"/>
  <c r="F6" i="17"/>
  <c r="F6" i="13"/>
  <c r="F9" i="13"/>
  <c r="F11" i="13"/>
  <c r="F8" i="13"/>
  <c r="F15" i="13"/>
  <c r="F2" i="13"/>
  <c r="F5" i="13"/>
  <c r="F13" i="13"/>
  <c r="F12" i="13"/>
  <c r="F14" i="13"/>
  <c r="F4" i="13"/>
</calcChain>
</file>

<file path=xl/sharedStrings.xml><?xml version="1.0" encoding="utf-8"?>
<sst xmlns="http://schemas.openxmlformats.org/spreadsheetml/2006/main" count="81" uniqueCount="12">
  <si>
    <t>Resource</t>
  </si>
  <si>
    <t>Power</t>
  </si>
  <si>
    <t>Execution Time</t>
  </si>
  <si>
    <t>Extra Execution</t>
  </si>
  <si>
    <t>Unit Cost</t>
  </si>
  <si>
    <t>Resource Reduction</t>
  </si>
  <si>
    <t>Performance</t>
  </si>
  <si>
    <t>Cost</t>
  </si>
  <si>
    <t>cost/dp</t>
  </si>
  <si>
    <t>dp</t>
  </si>
  <si>
    <t>Performacne</t>
  </si>
  <si>
    <t>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</si>
</sst>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33-9106-2048-A641-1AD555744E19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0.45402131042769617</v>
      </c>
      <c r="B2">
        <v>52.195747799999999</v>
      </c>
      <c r="C2">
        <v>41.79537148</v>
      </c>
      <c r="D2">
        <f t="shared" ref="D2:D15" si="1">1/C2*100</f>
        <v>2.3926094315934527</v>
      </c>
      <c r="E2">
        <f t="shared" ref="E2:E15" si="2">D2-$D$16</f>
        <v>1.3926094315934527</v>
      </c>
      <c r="F2">
        <f>IFERROR(E2/G2,0)</f>
        <v>2.5506662772577497</v>
      </c>
      <c r="G2">
        <f>$A$16-A2</f>
        <v>0.54597868957230378</v>
      </c>
      <c r="H2">
        <v>1000</v>
      </c>
    </row>
    <row r="3" spans="1:8" x14ac:dyDescent="0.2">
      <c r="A3">
        <f t="shared" si="0"/>
        <v>0.47815711327311983</v>
      </c>
      <c r="B3">
        <v>54.970477199999998</v>
      </c>
      <c r="C3">
        <v>45.669959290000001</v>
      </c>
      <c r="D3">
        <f t="shared" si="1"/>
        <v>2.1896231473518357</v>
      </c>
      <c r="E3">
        <f t="shared" si="2"/>
        <v>1.1896231473518357</v>
      </c>
      <c r="F3">
        <f t="shared" ref="F3:F16" si="3">IFERROR(E3/G3,0)</f>
        <v>2.279657685502678</v>
      </c>
      <c r="G3">
        <f t="shared" ref="G3:G16" si="4">$A$16-A3</f>
        <v>0.52184288672688017</v>
      </c>
      <c r="H3">
        <v>1100</v>
      </c>
    </row>
    <row r="4" spans="1:8" x14ac:dyDescent="0.2">
      <c r="A4">
        <f t="shared" si="0"/>
        <v>0.49499629530181394</v>
      </c>
      <c r="B4">
        <v>56.906363640000002</v>
      </c>
      <c r="C4">
        <v>50.036092089999997</v>
      </c>
      <c r="D4">
        <f t="shared" si="1"/>
        <v>1.9985573577594717</v>
      </c>
      <c r="E4">
        <f t="shared" si="2"/>
        <v>0.99855735775947174</v>
      </c>
      <c r="F4">
        <f t="shared" si="3"/>
        <v>1.9773267967534147</v>
      </c>
      <c r="G4">
        <f t="shared" si="4"/>
        <v>0.50500370469818612</v>
      </c>
      <c r="H4">
        <v>1200</v>
      </c>
    </row>
    <row r="5" spans="1:8" x14ac:dyDescent="0.2">
      <c r="A5">
        <f t="shared" si="0"/>
        <v>0.51520841782123084</v>
      </c>
      <c r="B5">
        <v>59.230014150000002</v>
      </c>
      <c r="C5">
        <v>53.661072689999997</v>
      </c>
      <c r="D5">
        <f t="shared" si="1"/>
        <v>1.8635482853222105</v>
      </c>
      <c r="E5">
        <f t="shared" si="2"/>
        <v>0.86354828532221051</v>
      </c>
      <c r="F5">
        <f t="shared" si="3"/>
        <v>1.7812773923202589</v>
      </c>
      <c r="G5">
        <f t="shared" si="4"/>
        <v>0.48479158217876916</v>
      </c>
      <c r="H5">
        <v>1300</v>
      </c>
    </row>
    <row r="6" spans="1:8" x14ac:dyDescent="0.2">
      <c r="A6">
        <f t="shared" si="0"/>
        <v>0.53570826508019465</v>
      </c>
      <c r="B6">
        <v>61.58674242</v>
      </c>
      <c r="C6">
        <v>57.414771389999999</v>
      </c>
      <c r="D6">
        <f t="shared" si="1"/>
        <v>1.7417120643176003</v>
      </c>
      <c r="E6">
        <f t="shared" si="2"/>
        <v>0.74171206431760028</v>
      </c>
      <c r="F6">
        <f t="shared" si="3"/>
        <v>1.5975129612111494</v>
      </c>
      <c r="G6">
        <f t="shared" si="4"/>
        <v>0.46429173491980535</v>
      </c>
      <c r="H6">
        <v>1400</v>
      </c>
    </row>
    <row r="7" spans="1:8" x14ac:dyDescent="0.2">
      <c r="A7">
        <f t="shared" si="0"/>
        <v>0.55707093435817323</v>
      </c>
      <c r="B7">
        <v>64.042663480000002</v>
      </c>
      <c r="C7">
        <v>60.684930790000003</v>
      </c>
      <c r="D7">
        <f t="shared" si="1"/>
        <v>1.6478555499395666</v>
      </c>
      <c r="E7">
        <f t="shared" si="2"/>
        <v>0.64785554993956662</v>
      </c>
      <c r="F7">
        <f t="shared" si="3"/>
        <v>1.462662083376242</v>
      </c>
      <c r="G7">
        <f t="shared" si="4"/>
        <v>0.44292906564182677</v>
      </c>
      <c r="H7">
        <v>1500</v>
      </c>
    </row>
    <row r="8" spans="1:8" x14ac:dyDescent="0.2">
      <c r="A8">
        <f t="shared" si="0"/>
        <v>0.59994893940471272</v>
      </c>
      <c r="B8">
        <v>68.972056629999997</v>
      </c>
      <c r="C8">
        <v>65.014705460000002</v>
      </c>
      <c r="D8">
        <f t="shared" si="1"/>
        <v>1.5381135589628188</v>
      </c>
      <c r="E8">
        <f t="shared" si="2"/>
        <v>0.53811355896281876</v>
      </c>
      <c r="F8">
        <f t="shared" si="3"/>
        <v>1.3451121918339388</v>
      </c>
      <c r="G8">
        <f t="shared" si="4"/>
        <v>0.40005106059528728</v>
      </c>
      <c r="H8">
        <v>1600</v>
      </c>
    </row>
    <row r="9" spans="1:8" x14ac:dyDescent="0.2">
      <c r="A9">
        <f t="shared" si="0"/>
        <v>0.62480573037437903</v>
      </c>
      <c r="B9">
        <v>71.829673139999997</v>
      </c>
      <c r="C9">
        <v>67.244609560000001</v>
      </c>
      <c r="D9">
        <f t="shared" si="1"/>
        <v>1.4871080470884959</v>
      </c>
      <c r="E9">
        <f t="shared" si="2"/>
        <v>0.48710804708849587</v>
      </c>
      <c r="F9">
        <f t="shared" si="3"/>
        <v>1.2982822141034978</v>
      </c>
      <c r="G9">
        <f t="shared" si="4"/>
        <v>0.37519426962562097</v>
      </c>
      <c r="H9">
        <v>1700</v>
      </c>
    </row>
    <row r="10" spans="1:8" x14ac:dyDescent="0.2">
      <c r="A10">
        <f t="shared" si="0"/>
        <v>0.65048981904221548</v>
      </c>
      <c r="B10">
        <v>74.782398450000002</v>
      </c>
      <c r="C10">
        <v>72.752816420000002</v>
      </c>
      <c r="D10">
        <f t="shared" si="1"/>
        <v>1.3745172341191956</v>
      </c>
      <c r="E10">
        <f t="shared" si="2"/>
        <v>0.37451723411919557</v>
      </c>
      <c r="F10">
        <f t="shared" si="3"/>
        <v>1.0715488547225798</v>
      </c>
      <c r="G10">
        <f t="shared" si="4"/>
        <v>0.34951018095778452</v>
      </c>
      <c r="H10">
        <v>1800</v>
      </c>
    </row>
    <row r="11" spans="1:8" x14ac:dyDescent="0.2">
      <c r="A11">
        <f t="shared" si="0"/>
        <v>0.67094269518804106</v>
      </c>
      <c r="B11">
        <v>77.133726769999996</v>
      </c>
      <c r="C11">
        <v>74.7957289</v>
      </c>
      <c r="D11">
        <f t="shared" si="1"/>
        <v>1.336974737336907</v>
      </c>
      <c r="E11">
        <f t="shared" si="2"/>
        <v>0.33697473733690697</v>
      </c>
      <c r="F11">
        <f t="shared" si="3"/>
        <v>1.0240609535456826</v>
      </c>
      <c r="G11">
        <f t="shared" si="4"/>
        <v>0.32905730481195894</v>
      </c>
      <c r="H11">
        <v>1900</v>
      </c>
    </row>
    <row r="12" spans="1:8" x14ac:dyDescent="0.2">
      <c r="A12">
        <f t="shared" si="0"/>
        <v>0.69375378869027282</v>
      </c>
      <c r="B12">
        <v>79.756163330000007</v>
      </c>
      <c r="C12">
        <v>77.9324206</v>
      </c>
      <c r="D12">
        <f t="shared" si="1"/>
        <v>1.2831630177800484</v>
      </c>
      <c r="E12">
        <f t="shared" si="2"/>
        <v>0.28316301778004838</v>
      </c>
      <c r="F12">
        <f t="shared" si="3"/>
        <v>0.9246253743647681</v>
      </c>
      <c r="G12">
        <f t="shared" si="4"/>
        <v>0.30624621130972718</v>
      </c>
      <c r="H12">
        <v>2000</v>
      </c>
    </row>
    <row r="13" spans="1:8" x14ac:dyDescent="0.2">
      <c r="A13">
        <f t="shared" si="0"/>
        <v>0.72436592567970992</v>
      </c>
      <c r="B13">
        <v>83.275432899999998</v>
      </c>
      <c r="C13">
        <v>82.373972859999995</v>
      </c>
      <c r="D13">
        <f t="shared" si="1"/>
        <v>1.2139756834353079</v>
      </c>
      <c r="E13">
        <f t="shared" si="2"/>
        <v>0.21397568343530793</v>
      </c>
      <c r="F13">
        <f t="shared" si="3"/>
        <v>0.77630345218735775</v>
      </c>
      <c r="G13">
        <f t="shared" si="4"/>
        <v>0.27563407432029008</v>
      </c>
      <c r="H13">
        <v>2100</v>
      </c>
    </row>
    <row r="14" spans="1:8" x14ac:dyDescent="0.2">
      <c r="A14">
        <f t="shared" si="0"/>
        <v>0.76319195805483897</v>
      </c>
      <c r="B14">
        <v>87.738998260000002</v>
      </c>
      <c r="C14">
        <v>86.289743079999994</v>
      </c>
      <c r="D14">
        <f t="shared" si="1"/>
        <v>1.1588862874152852</v>
      </c>
      <c r="E14">
        <f t="shared" si="2"/>
        <v>0.15888628741528521</v>
      </c>
      <c r="F14">
        <f t="shared" si="3"/>
        <v>0.67094971146325932</v>
      </c>
      <c r="G14">
        <f t="shared" si="4"/>
        <v>0.23680804194516103</v>
      </c>
      <c r="H14">
        <v>2200</v>
      </c>
    </row>
    <row r="15" spans="1:8" x14ac:dyDescent="0.2">
      <c r="A15">
        <f t="shared" si="0"/>
        <v>0.79915457876493279</v>
      </c>
      <c r="B15">
        <v>91.873376620000002</v>
      </c>
      <c r="C15">
        <v>89.380225890000006</v>
      </c>
      <c r="D15">
        <f t="shared" si="1"/>
        <v>1.1188157000528252</v>
      </c>
      <c r="E15">
        <f t="shared" si="2"/>
        <v>0.11881570005282516</v>
      </c>
      <c r="F15">
        <f t="shared" si="3"/>
        <v>0.59157783793221064</v>
      </c>
      <c r="G15">
        <f t="shared" si="4"/>
        <v>0.20084542123506721</v>
      </c>
      <c r="H15">
        <v>2300</v>
      </c>
    </row>
    <row r="16" spans="1:8" x14ac:dyDescent="0.2">
      <c r="A16">
        <f>B16/$B$16</f>
        <v>1</v>
      </c>
      <c r="B16">
        <v>114.9632112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D575-4C9B-754A-AE7B-6854334B6499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0.46244609722783492</v>
      </c>
      <c r="B2">
        <v>100.65830269999999</v>
      </c>
      <c r="C2">
        <v>51.996538049999998</v>
      </c>
      <c r="D2">
        <f t="shared" ref="D2:D15" si="1">1/C2*100</f>
        <v>1.9232049622965235</v>
      </c>
      <c r="E2">
        <f t="shared" ref="E2:E15" si="2">D2-$D$16</f>
        <v>0.92320496229652349</v>
      </c>
      <c r="F2">
        <f>IFERROR(E2/G2,0)</f>
        <v>1.7174183975514943</v>
      </c>
      <c r="G2">
        <f>$A$16-A2</f>
        <v>0.53755390277216508</v>
      </c>
      <c r="H2">
        <v>1000</v>
      </c>
    </row>
    <row r="3" spans="1:8" x14ac:dyDescent="0.2">
      <c r="A3">
        <f t="shared" si="0"/>
        <v>0.48126512601479282</v>
      </c>
      <c r="B3">
        <v>104.75454550000001</v>
      </c>
      <c r="C3">
        <v>55.657013190000001</v>
      </c>
      <c r="D3">
        <f t="shared" si="1"/>
        <v>1.7967187649582173</v>
      </c>
      <c r="E3">
        <f t="shared" si="2"/>
        <v>0.79671876495821725</v>
      </c>
      <c r="F3">
        <f t="shared" ref="F3:F16" si="3">IFERROR(E3/G3,0)</f>
        <v>1.535888186651853</v>
      </c>
      <c r="G3">
        <f t="shared" ref="G3:G16" si="4">$A$16-A3</f>
        <v>0.51873487398520712</v>
      </c>
      <c r="H3">
        <v>1100</v>
      </c>
    </row>
    <row r="4" spans="1:8" x14ac:dyDescent="0.2">
      <c r="A4">
        <f t="shared" si="0"/>
        <v>0.50021360054439457</v>
      </c>
      <c r="B4">
        <v>108.8789641</v>
      </c>
      <c r="C4">
        <v>59.233848639999998</v>
      </c>
      <c r="D4">
        <f t="shared" si="1"/>
        <v>1.6882239175063671</v>
      </c>
      <c r="E4">
        <f t="shared" si="2"/>
        <v>0.68822391750636713</v>
      </c>
      <c r="F4">
        <f t="shared" si="3"/>
        <v>1.3770361063366632</v>
      </c>
      <c r="G4">
        <f t="shared" si="4"/>
        <v>0.49978639945560543</v>
      </c>
      <c r="H4">
        <v>1200</v>
      </c>
    </row>
    <row r="5" spans="1:8" x14ac:dyDescent="0.2">
      <c r="A5">
        <f t="shared" si="0"/>
        <v>0.51997140522512675</v>
      </c>
      <c r="B5">
        <v>113.1795455</v>
      </c>
      <c r="C5">
        <v>63.34866426</v>
      </c>
      <c r="D5">
        <f t="shared" si="1"/>
        <v>1.5785652494514018</v>
      </c>
      <c r="E5">
        <f t="shared" si="2"/>
        <v>0.57856524945140175</v>
      </c>
      <c r="F5">
        <f t="shared" si="3"/>
        <v>1.2052724686593739</v>
      </c>
      <c r="G5">
        <f t="shared" si="4"/>
        <v>0.48002859477487325</v>
      </c>
      <c r="H5">
        <v>1300</v>
      </c>
    </row>
    <row r="6" spans="1:8" x14ac:dyDescent="0.2">
      <c r="A6">
        <f t="shared" si="0"/>
        <v>0.53973258343948793</v>
      </c>
      <c r="B6">
        <v>117.48086120000001</v>
      </c>
      <c r="C6">
        <v>66.345704229999996</v>
      </c>
      <c r="D6">
        <f t="shared" si="1"/>
        <v>1.5072565912230127</v>
      </c>
      <c r="E6">
        <f t="shared" si="2"/>
        <v>0.5072565912230127</v>
      </c>
      <c r="F6">
        <f t="shared" si="3"/>
        <v>1.1020910300660463</v>
      </c>
      <c r="G6">
        <f t="shared" si="4"/>
        <v>0.46026741656051207</v>
      </c>
      <c r="H6">
        <v>1400</v>
      </c>
    </row>
    <row r="7" spans="1:8" x14ac:dyDescent="0.2">
      <c r="A7">
        <f t="shared" si="0"/>
        <v>0.56360281336349238</v>
      </c>
      <c r="B7">
        <v>122.6765734</v>
      </c>
      <c r="C7">
        <v>70.673526879999997</v>
      </c>
      <c r="D7">
        <f t="shared" si="1"/>
        <v>1.4149569777350273</v>
      </c>
      <c r="E7">
        <f t="shared" si="2"/>
        <v>0.41495697773502727</v>
      </c>
      <c r="F7">
        <f t="shared" si="3"/>
        <v>0.95086996534801504</v>
      </c>
      <c r="G7">
        <f t="shared" si="4"/>
        <v>0.43639718663650762</v>
      </c>
      <c r="H7">
        <v>1500</v>
      </c>
    </row>
    <row r="8" spans="1:8" x14ac:dyDescent="0.2">
      <c r="A8">
        <f t="shared" si="0"/>
        <v>0.60250493118571424</v>
      </c>
      <c r="B8">
        <v>131.1442006</v>
      </c>
      <c r="C8">
        <v>74.518615920000002</v>
      </c>
      <c r="D8">
        <f t="shared" si="1"/>
        <v>1.3419465561109687</v>
      </c>
      <c r="E8">
        <f t="shared" si="2"/>
        <v>0.34194655611096869</v>
      </c>
      <c r="F8">
        <f t="shared" si="3"/>
        <v>0.86025358032989852</v>
      </c>
      <c r="G8">
        <f t="shared" si="4"/>
        <v>0.39749506881428576</v>
      </c>
      <c r="H8">
        <v>1600</v>
      </c>
    </row>
    <row r="9" spans="1:8" x14ac:dyDescent="0.2">
      <c r="A9">
        <f t="shared" si="0"/>
        <v>0.62674934539239979</v>
      </c>
      <c r="B9">
        <v>136.42135959999999</v>
      </c>
      <c r="C9">
        <v>77.616056090000001</v>
      </c>
      <c r="D9">
        <f t="shared" si="1"/>
        <v>1.2883932144664065</v>
      </c>
      <c r="E9">
        <f t="shared" si="2"/>
        <v>0.28839321446640653</v>
      </c>
      <c r="F9">
        <f t="shared" si="3"/>
        <v>0.77265293685712455</v>
      </c>
      <c r="G9">
        <f t="shared" si="4"/>
        <v>0.37325065460760021</v>
      </c>
      <c r="H9">
        <v>1700</v>
      </c>
    </row>
    <row r="10" spans="1:8" x14ac:dyDescent="0.2">
      <c r="A10">
        <f t="shared" si="0"/>
        <v>0.64732168041861715</v>
      </c>
      <c r="B10">
        <v>140.89923569999999</v>
      </c>
      <c r="C10">
        <v>79.704503810000006</v>
      </c>
      <c r="D10">
        <f t="shared" si="1"/>
        <v>1.2546342454923314</v>
      </c>
      <c r="E10">
        <f t="shared" si="2"/>
        <v>0.25463424549233138</v>
      </c>
      <c r="F10">
        <f t="shared" si="3"/>
        <v>0.72200141419119146</v>
      </c>
      <c r="G10">
        <f t="shared" si="4"/>
        <v>0.35267831958138285</v>
      </c>
      <c r="H10">
        <v>1800</v>
      </c>
    </row>
    <row r="11" spans="1:8" x14ac:dyDescent="0.2">
      <c r="A11">
        <f t="shared" si="0"/>
        <v>0.67153422454116252</v>
      </c>
      <c r="B11">
        <v>146.16945770000001</v>
      </c>
      <c r="C11">
        <v>86.305437580000003</v>
      </c>
      <c r="D11">
        <f t="shared" si="1"/>
        <v>1.1586755458751479</v>
      </c>
      <c r="E11">
        <f t="shared" si="2"/>
        <v>0.15867554587514787</v>
      </c>
      <c r="F11">
        <f t="shared" si="3"/>
        <v>0.48308091049514135</v>
      </c>
      <c r="G11">
        <f t="shared" si="4"/>
        <v>0.32846577545883748</v>
      </c>
      <c r="H11">
        <v>1900</v>
      </c>
    </row>
    <row r="12" spans="1:8" x14ac:dyDescent="0.2">
      <c r="A12">
        <f t="shared" si="0"/>
        <v>0.6867454467856966</v>
      </c>
      <c r="B12">
        <v>149.48040750000001</v>
      </c>
      <c r="C12">
        <v>87.395379120000001</v>
      </c>
      <c r="D12">
        <f t="shared" si="1"/>
        <v>1.1442252554645134</v>
      </c>
      <c r="E12">
        <f t="shared" si="2"/>
        <v>0.14422525546451337</v>
      </c>
      <c r="F12">
        <f t="shared" si="3"/>
        <v>0.4604091272883945</v>
      </c>
      <c r="G12">
        <f t="shared" si="4"/>
        <v>0.3132545532143034</v>
      </c>
      <c r="H12">
        <v>2000</v>
      </c>
    </row>
    <row r="13" spans="1:8" x14ac:dyDescent="0.2">
      <c r="A13">
        <f t="shared" si="0"/>
        <v>0.71661665918762574</v>
      </c>
      <c r="B13">
        <v>155.9823232</v>
      </c>
      <c r="C13">
        <v>93.71151648</v>
      </c>
      <c r="D13">
        <f t="shared" si="1"/>
        <v>1.0671047034154237</v>
      </c>
      <c r="E13">
        <f t="shared" si="2"/>
        <v>6.7104703415423739E-2</v>
      </c>
      <c r="F13">
        <f t="shared" si="3"/>
        <v>0.23679833550926058</v>
      </c>
      <c r="G13">
        <f t="shared" si="4"/>
        <v>0.28338334081237426</v>
      </c>
      <c r="H13">
        <v>2100</v>
      </c>
    </row>
    <row r="14" spans="1:8" x14ac:dyDescent="0.2">
      <c r="A14">
        <f t="shared" si="0"/>
        <v>0.75543153328621826</v>
      </c>
      <c r="B14">
        <v>164.4309605</v>
      </c>
      <c r="C14">
        <v>95.047232449999996</v>
      </c>
      <c r="D14">
        <f t="shared" si="1"/>
        <v>1.0521084877732283</v>
      </c>
      <c r="E14">
        <f t="shared" si="2"/>
        <v>5.2108487773228296E-2</v>
      </c>
      <c r="F14">
        <f t="shared" si="3"/>
        <v>0.21306298589266134</v>
      </c>
      <c r="G14">
        <f t="shared" si="4"/>
        <v>0.24456846671378174</v>
      </c>
      <c r="H14">
        <v>2200</v>
      </c>
    </row>
    <row r="15" spans="1:8" x14ac:dyDescent="0.2">
      <c r="A15">
        <f t="shared" si="0"/>
        <v>0.78759904842094197</v>
      </c>
      <c r="B15">
        <v>171.43270079999999</v>
      </c>
      <c r="C15">
        <v>98.459028230000001</v>
      </c>
      <c r="D15">
        <f t="shared" si="1"/>
        <v>1.0156508935513795</v>
      </c>
      <c r="E15">
        <f t="shared" si="2"/>
        <v>1.5650893551379497E-2</v>
      </c>
      <c r="F15">
        <f t="shared" si="3"/>
        <v>7.3685609386519427E-2</v>
      </c>
      <c r="G15">
        <f t="shared" si="4"/>
        <v>0.21240095157905803</v>
      </c>
      <c r="H15">
        <v>2300</v>
      </c>
    </row>
    <row r="16" spans="1:8" x14ac:dyDescent="0.2">
      <c r="A16">
        <f>B16/$B$16</f>
        <v>1</v>
      </c>
      <c r="B16">
        <v>217.6649415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4081C-D1F1-A14E-89BC-B6E73E149869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0.43780922583285015</v>
      </c>
      <c r="B2">
        <v>51.260936899999997</v>
      </c>
      <c r="C2">
        <v>42.112729080000001</v>
      </c>
      <c r="D2">
        <f t="shared" ref="D2:D15" si="1">1/C2*100</f>
        <v>2.3745789499900063</v>
      </c>
      <c r="E2">
        <f t="shared" ref="E2:E15" si="2">D2-$D$16</f>
        <v>1.3745789499900063</v>
      </c>
      <c r="F2">
        <f>IFERROR(E2/G2,0)</f>
        <v>2.4450400347219468</v>
      </c>
      <c r="G2">
        <f>$A$16-A2</f>
        <v>0.56219077416714991</v>
      </c>
      <c r="H2">
        <v>1000</v>
      </c>
    </row>
    <row r="3" spans="1:8" x14ac:dyDescent="0.2">
      <c r="A3">
        <f t="shared" si="0"/>
        <v>0.46071593475295486</v>
      </c>
      <c r="B3">
        <v>53.942971200000002</v>
      </c>
      <c r="C3">
        <v>46.141603619999998</v>
      </c>
      <c r="D3">
        <f t="shared" si="1"/>
        <v>2.1672415381041326</v>
      </c>
      <c r="E3">
        <f t="shared" si="2"/>
        <v>1.1672415381041326</v>
      </c>
      <c r="F3">
        <f t="shared" ref="F3:F16" si="3">IFERROR(E3/G3,0)</f>
        <v>2.1644280135913547</v>
      </c>
      <c r="G3">
        <f t="shared" ref="G3:G16" si="4">$A$16-A3</f>
        <v>0.5392840652470452</v>
      </c>
      <c r="H3">
        <v>1100</v>
      </c>
    </row>
    <row r="4" spans="1:8" x14ac:dyDescent="0.2">
      <c r="A4">
        <f t="shared" si="0"/>
        <v>0.47783417689839985</v>
      </c>
      <c r="B4">
        <v>55.947262289999998</v>
      </c>
      <c r="C4">
        <v>50.397749240000003</v>
      </c>
      <c r="D4">
        <f t="shared" si="1"/>
        <v>1.9842155951010483</v>
      </c>
      <c r="E4">
        <f t="shared" si="2"/>
        <v>0.98421559510104828</v>
      </c>
      <c r="F4">
        <f t="shared" si="3"/>
        <v>1.8848717238040011</v>
      </c>
      <c r="G4">
        <f t="shared" si="4"/>
        <v>0.5221658231016002</v>
      </c>
      <c r="H4">
        <v>1200</v>
      </c>
    </row>
    <row r="5" spans="1:8" x14ac:dyDescent="0.2">
      <c r="A5">
        <f t="shared" si="0"/>
        <v>0.50204401875566407</v>
      </c>
      <c r="B5">
        <v>58.781874039999998</v>
      </c>
      <c r="C5">
        <v>54.791829530000001</v>
      </c>
      <c r="D5">
        <f t="shared" si="1"/>
        <v>1.8250896321183672</v>
      </c>
      <c r="E5">
        <f t="shared" si="2"/>
        <v>0.82508963211836717</v>
      </c>
      <c r="F5">
        <f t="shared" si="3"/>
        <v>1.6569529500510489</v>
      </c>
      <c r="G5">
        <f t="shared" si="4"/>
        <v>0.49795598124433593</v>
      </c>
      <c r="H5">
        <v>1300</v>
      </c>
    </row>
    <row r="6" spans="1:8" x14ac:dyDescent="0.2">
      <c r="A6">
        <f t="shared" si="0"/>
        <v>0.52387510387551472</v>
      </c>
      <c r="B6">
        <v>61.33796882</v>
      </c>
      <c r="C6">
        <v>58.710755390000003</v>
      </c>
      <c r="D6">
        <f t="shared" si="1"/>
        <v>1.7032654295746403</v>
      </c>
      <c r="E6">
        <f t="shared" si="2"/>
        <v>0.70326542957464033</v>
      </c>
      <c r="F6">
        <f t="shared" si="3"/>
        <v>1.4770608201734698</v>
      </c>
      <c r="G6">
        <f t="shared" si="4"/>
        <v>0.47612489612448528</v>
      </c>
      <c r="H6">
        <v>1400</v>
      </c>
    </row>
    <row r="7" spans="1:8" x14ac:dyDescent="0.2">
      <c r="A7">
        <f t="shared" si="0"/>
        <v>0.54969597335561227</v>
      </c>
      <c r="B7">
        <v>64.361207899999997</v>
      </c>
      <c r="C7">
        <v>62.763881959999999</v>
      </c>
      <c r="D7">
        <f t="shared" si="1"/>
        <v>1.5932730238663522</v>
      </c>
      <c r="E7">
        <f t="shared" si="2"/>
        <v>0.59327302386635217</v>
      </c>
      <c r="F7">
        <f t="shared" si="3"/>
        <v>1.3174943788252405</v>
      </c>
      <c r="G7">
        <f t="shared" si="4"/>
        <v>0.45030402664438773</v>
      </c>
      <c r="H7">
        <v>1500</v>
      </c>
    </row>
    <row r="8" spans="1:8" x14ac:dyDescent="0.2">
      <c r="A8">
        <f t="shared" si="0"/>
        <v>0.57696043865011093</v>
      </c>
      <c r="B8">
        <v>67.553470540000006</v>
      </c>
      <c r="C8">
        <v>66.283846280000006</v>
      </c>
      <c r="D8">
        <f t="shared" si="1"/>
        <v>1.508663205475046</v>
      </c>
      <c r="E8">
        <f t="shared" si="2"/>
        <v>0.50866320547504595</v>
      </c>
      <c r="F8">
        <f t="shared" si="3"/>
        <v>1.2024010327826975</v>
      </c>
      <c r="G8">
        <f t="shared" si="4"/>
        <v>0.42303956134988907</v>
      </c>
      <c r="H8">
        <v>1600</v>
      </c>
    </row>
    <row r="9" spans="1:8" x14ac:dyDescent="0.2">
      <c r="A9">
        <f t="shared" si="0"/>
        <v>0.61347135632710115</v>
      </c>
      <c r="B9">
        <v>71.82835498</v>
      </c>
      <c r="C9">
        <v>70.920964310000002</v>
      </c>
      <c r="D9">
        <f t="shared" si="1"/>
        <v>1.4100203088454029</v>
      </c>
      <c r="E9">
        <f t="shared" si="2"/>
        <v>0.41002030884540286</v>
      </c>
      <c r="F9">
        <f t="shared" si="3"/>
        <v>1.0607760008398857</v>
      </c>
      <c r="G9">
        <f t="shared" si="4"/>
        <v>0.38652864367289885</v>
      </c>
      <c r="H9">
        <v>1700</v>
      </c>
    </row>
    <row r="10" spans="1:8" x14ac:dyDescent="0.2">
      <c r="A10">
        <f t="shared" si="0"/>
        <v>0.63794988232994621</v>
      </c>
      <c r="B10">
        <v>74.694425640000006</v>
      </c>
      <c r="C10">
        <v>74.075698709999998</v>
      </c>
      <c r="D10">
        <f t="shared" si="1"/>
        <v>1.3499703916596375</v>
      </c>
      <c r="E10">
        <f t="shared" si="2"/>
        <v>0.3499703916596375</v>
      </c>
      <c r="F10">
        <f t="shared" si="3"/>
        <v>0.96663521037320899</v>
      </c>
      <c r="G10">
        <f t="shared" si="4"/>
        <v>0.36205011767005379</v>
      </c>
      <c r="H10">
        <v>1800</v>
      </c>
    </row>
    <row r="11" spans="1:8" x14ac:dyDescent="0.2">
      <c r="A11">
        <f t="shared" si="0"/>
        <v>0.66359664075718705</v>
      </c>
      <c r="B11">
        <v>77.697278909999994</v>
      </c>
      <c r="C11">
        <v>78.358745420000005</v>
      </c>
      <c r="D11">
        <f t="shared" si="1"/>
        <v>1.2761817390516357</v>
      </c>
      <c r="E11">
        <f t="shared" si="2"/>
        <v>0.27618173905163568</v>
      </c>
      <c r="F11">
        <f t="shared" si="3"/>
        <v>0.820983891698567</v>
      </c>
      <c r="G11">
        <f t="shared" si="4"/>
        <v>0.33640335924281295</v>
      </c>
      <c r="H11">
        <v>1900</v>
      </c>
    </row>
    <row r="12" spans="1:8" x14ac:dyDescent="0.2">
      <c r="A12">
        <f t="shared" si="0"/>
        <v>0.69920011111439484</v>
      </c>
      <c r="B12">
        <v>81.865914790000005</v>
      </c>
      <c r="C12">
        <v>82.291814819999999</v>
      </c>
      <c r="D12">
        <f t="shared" si="1"/>
        <v>1.2151876856614936</v>
      </c>
      <c r="E12">
        <f t="shared" si="2"/>
        <v>0.2151876856614936</v>
      </c>
      <c r="F12">
        <f t="shared" si="3"/>
        <v>0.71538485755003034</v>
      </c>
      <c r="G12">
        <f t="shared" si="4"/>
        <v>0.30079988888560516</v>
      </c>
      <c r="H12">
        <v>2000</v>
      </c>
    </row>
    <row r="13" spans="1:8" x14ac:dyDescent="0.2">
      <c r="A13">
        <f t="shared" si="0"/>
        <v>0.72366606489410878</v>
      </c>
      <c r="B13">
        <v>84.730513430000002</v>
      </c>
      <c r="C13">
        <v>86.692647930000007</v>
      </c>
      <c r="D13">
        <f t="shared" si="1"/>
        <v>1.1535003531181216</v>
      </c>
      <c r="E13">
        <f t="shared" si="2"/>
        <v>0.1535003531181216</v>
      </c>
      <c r="F13">
        <f t="shared" si="3"/>
        <v>0.55548860858982174</v>
      </c>
      <c r="G13">
        <f t="shared" si="4"/>
        <v>0.27633393510589122</v>
      </c>
      <c r="H13">
        <v>2100</v>
      </c>
    </row>
    <row r="14" spans="1:8" x14ac:dyDescent="0.2">
      <c r="A14">
        <f t="shared" si="0"/>
        <v>0.75963087303103616</v>
      </c>
      <c r="B14">
        <v>88.941456579999993</v>
      </c>
      <c r="C14">
        <v>90.507881319999996</v>
      </c>
      <c r="D14">
        <f t="shared" si="1"/>
        <v>1.1048761559939697</v>
      </c>
      <c r="E14">
        <f t="shared" si="2"/>
        <v>0.10487615599396971</v>
      </c>
      <c r="F14">
        <f t="shared" si="3"/>
        <v>0.43631292136577582</v>
      </c>
      <c r="G14">
        <f t="shared" si="4"/>
        <v>0.24036912696896384</v>
      </c>
      <c r="H14">
        <v>2200</v>
      </c>
    </row>
    <row r="15" spans="1:8" x14ac:dyDescent="0.2">
      <c r="A15">
        <f t="shared" si="0"/>
        <v>0.79522651079467244</v>
      </c>
      <c r="B15">
        <v>93.109175379999996</v>
      </c>
      <c r="C15">
        <v>94.595270510000006</v>
      </c>
      <c r="D15">
        <f t="shared" si="1"/>
        <v>1.0571353034973208</v>
      </c>
      <c r="E15">
        <f t="shared" si="2"/>
        <v>5.7135303497320766E-2</v>
      </c>
      <c r="F15">
        <f t="shared" si="3"/>
        <v>0.27901709210038839</v>
      </c>
      <c r="G15">
        <f t="shared" si="4"/>
        <v>0.20477348920532756</v>
      </c>
      <c r="H15">
        <v>2300</v>
      </c>
    </row>
    <row r="16" spans="1:8" x14ac:dyDescent="0.2">
      <c r="A16">
        <f>B16/$B$16</f>
        <v>1</v>
      </c>
      <c r="B16">
        <v>117.08509979999999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6874-6103-2B43-82BF-5CA4698AAF98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0.44920420286520785</v>
      </c>
      <c r="B2">
        <v>104.6319515</v>
      </c>
      <c r="C2">
        <v>42.818751640000002</v>
      </c>
      <c r="D2">
        <f t="shared" ref="D2:D15" si="1">1/C2*100</f>
        <v>2.3354253958815319</v>
      </c>
      <c r="E2">
        <f t="shared" ref="E2:E15" si="2">D2-$D$16</f>
        <v>1.3354253958815319</v>
      </c>
      <c r="F2">
        <f>IFERROR(E2/G2,0)</f>
        <v>2.4245381007413958</v>
      </c>
      <c r="G2">
        <f>$A$16-A2</f>
        <v>0.5507957971347921</v>
      </c>
      <c r="H2">
        <v>1000</v>
      </c>
    </row>
    <row r="3" spans="1:8" x14ac:dyDescent="0.2">
      <c r="A3">
        <f t="shared" si="0"/>
        <v>0.4733526630100286</v>
      </c>
      <c r="B3">
        <v>110.2567887</v>
      </c>
      <c r="C3">
        <v>47.259389499999997</v>
      </c>
      <c r="D3">
        <f t="shared" si="1"/>
        <v>2.11598162942837</v>
      </c>
      <c r="E3">
        <f t="shared" si="2"/>
        <v>1.11598162942837</v>
      </c>
      <c r="F3">
        <f t="shared" ref="F3:F16" si="3">IFERROR(E3/G3,0)</f>
        <v>2.1190302334133344</v>
      </c>
      <c r="G3">
        <f t="shared" ref="G3:G16" si="4">$A$16-A3</f>
        <v>0.52664733698997135</v>
      </c>
      <c r="H3">
        <v>1100</v>
      </c>
    </row>
    <row r="4" spans="1:8" x14ac:dyDescent="0.2">
      <c r="A4">
        <f t="shared" si="0"/>
        <v>0.49257756426759464</v>
      </c>
      <c r="B4">
        <v>114.7347943</v>
      </c>
      <c r="C4">
        <v>51.37367613</v>
      </c>
      <c r="D4">
        <f t="shared" si="1"/>
        <v>1.9465221789258789</v>
      </c>
      <c r="E4">
        <f t="shared" si="2"/>
        <v>0.94652217892587887</v>
      </c>
      <c r="F4">
        <f t="shared" si="3"/>
        <v>1.8653534260062508</v>
      </c>
      <c r="G4">
        <f t="shared" si="4"/>
        <v>0.50742243573240531</v>
      </c>
      <c r="H4">
        <v>1200</v>
      </c>
    </row>
    <row r="5" spans="1:8" x14ac:dyDescent="0.2">
      <c r="A5">
        <f t="shared" si="0"/>
        <v>0.51556393553747715</v>
      </c>
      <c r="B5">
        <v>120.0889492</v>
      </c>
      <c r="C5">
        <v>55.573123160000002</v>
      </c>
      <c r="D5">
        <f t="shared" si="1"/>
        <v>1.7994309895467104</v>
      </c>
      <c r="E5">
        <f t="shared" si="2"/>
        <v>0.79943098954671044</v>
      </c>
      <c r="F5">
        <f t="shared" si="3"/>
        <v>1.6502301298184134</v>
      </c>
      <c r="G5">
        <f t="shared" si="4"/>
        <v>0.48443606446252285</v>
      </c>
      <c r="H5">
        <v>1300</v>
      </c>
    </row>
    <row r="6" spans="1:8" x14ac:dyDescent="0.2">
      <c r="A6">
        <f t="shared" si="0"/>
        <v>0.54048704575267559</v>
      </c>
      <c r="B6">
        <v>125.8942236</v>
      </c>
      <c r="C6">
        <v>59.60064302</v>
      </c>
      <c r="D6">
        <f t="shared" si="1"/>
        <v>1.6778342469634653</v>
      </c>
      <c r="E6">
        <f t="shared" si="2"/>
        <v>0.67783424696346528</v>
      </c>
      <c r="F6">
        <f t="shared" si="3"/>
        <v>1.4751145548741884</v>
      </c>
      <c r="G6">
        <f t="shared" si="4"/>
        <v>0.45951295424732441</v>
      </c>
      <c r="H6">
        <v>1400</v>
      </c>
    </row>
    <row r="7" spans="1:8" x14ac:dyDescent="0.2">
      <c r="A7">
        <f t="shared" si="0"/>
        <v>0.56108799013617316</v>
      </c>
      <c r="B7">
        <v>130.69274730000001</v>
      </c>
      <c r="C7">
        <v>63.258107299999999</v>
      </c>
      <c r="D7">
        <f t="shared" si="1"/>
        <v>1.5808250399549972</v>
      </c>
      <c r="E7">
        <f t="shared" si="2"/>
        <v>0.58082503995499724</v>
      </c>
      <c r="F7">
        <f t="shared" si="3"/>
        <v>1.3233291113068406</v>
      </c>
      <c r="G7">
        <f t="shared" si="4"/>
        <v>0.43891200986382684</v>
      </c>
      <c r="H7">
        <v>1500</v>
      </c>
    </row>
    <row r="8" spans="1:8" x14ac:dyDescent="0.2">
      <c r="A8">
        <f t="shared" si="0"/>
        <v>0.59058986033592087</v>
      </c>
      <c r="B8">
        <v>137.56454020000001</v>
      </c>
      <c r="C8">
        <v>68.583982939999999</v>
      </c>
      <c r="D8">
        <f t="shared" si="1"/>
        <v>1.4580663839177141</v>
      </c>
      <c r="E8">
        <f t="shared" si="2"/>
        <v>0.45806638391771415</v>
      </c>
      <c r="F8">
        <f t="shared" si="3"/>
        <v>1.1188447464773525</v>
      </c>
      <c r="G8">
        <f t="shared" si="4"/>
        <v>0.40941013966407913</v>
      </c>
      <c r="H8">
        <v>1600</v>
      </c>
    </row>
    <row r="9" spans="1:8" x14ac:dyDescent="0.2">
      <c r="A9">
        <f t="shared" si="0"/>
        <v>0.62463658424223956</v>
      </c>
      <c r="B9">
        <v>145.49495390000001</v>
      </c>
      <c r="C9">
        <v>72.144697309999998</v>
      </c>
      <c r="D9">
        <f t="shared" si="1"/>
        <v>1.3861032581550379</v>
      </c>
      <c r="E9">
        <f t="shared" si="2"/>
        <v>0.38610325815503788</v>
      </c>
      <c r="F9">
        <f t="shared" si="3"/>
        <v>1.0286118517319982</v>
      </c>
      <c r="G9">
        <f t="shared" si="4"/>
        <v>0.37536341575776044</v>
      </c>
      <c r="H9">
        <v>1700</v>
      </c>
    </row>
    <row r="10" spans="1:8" x14ac:dyDescent="0.2">
      <c r="A10">
        <f t="shared" si="0"/>
        <v>0.64081459704691268</v>
      </c>
      <c r="B10">
        <v>149.2632558</v>
      </c>
      <c r="C10">
        <v>74.649763199999995</v>
      </c>
      <c r="D10">
        <f t="shared" si="1"/>
        <v>1.3395889780933694</v>
      </c>
      <c r="E10">
        <f t="shared" si="2"/>
        <v>0.33958897809336941</v>
      </c>
      <c r="F10">
        <f t="shared" si="3"/>
        <v>0.9454420343961546</v>
      </c>
      <c r="G10">
        <f t="shared" si="4"/>
        <v>0.35918540295308732</v>
      </c>
      <c r="H10">
        <v>1800</v>
      </c>
    </row>
    <row r="11" spans="1:8" x14ac:dyDescent="0.2">
      <c r="A11">
        <f t="shared" si="0"/>
        <v>0.66605113200666455</v>
      </c>
      <c r="B11">
        <v>155.14153540000001</v>
      </c>
      <c r="C11">
        <v>78.935861119999998</v>
      </c>
      <c r="D11">
        <f t="shared" si="1"/>
        <v>1.2668513218342907</v>
      </c>
      <c r="E11">
        <f t="shared" si="2"/>
        <v>0.26685132183429072</v>
      </c>
      <c r="F11">
        <f t="shared" si="3"/>
        <v>0.79907838417831145</v>
      </c>
      <c r="G11">
        <f t="shared" si="4"/>
        <v>0.33394886799333545</v>
      </c>
      <c r="H11">
        <v>1900</v>
      </c>
    </row>
    <row r="12" spans="1:8" x14ac:dyDescent="0.2">
      <c r="A12">
        <f t="shared" si="0"/>
        <v>0.70236370088613043</v>
      </c>
      <c r="B12">
        <v>163.59972640000001</v>
      </c>
      <c r="C12">
        <v>82.029081860000005</v>
      </c>
      <c r="D12">
        <f t="shared" si="1"/>
        <v>1.2190798401312253</v>
      </c>
      <c r="E12">
        <f t="shared" si="2"/>
        <v>0.21907984013122528</v>
      </c>
      <c r="F12">
        <f t="shared" si="3"/>
        <v>0.73606559678196304</v>
      </c>
      <c r="G12">
        <f t="shared" si="4"/>
        <v>0.29763629911386957</v>
      </c>
      <c r="H12">
        <v>2000</v>
      </c>
    </row>
    <row r="13" spans="1:8" x14ac:dyDescent="0.2">
      <c r="A13">
        <f t="shared" si="0"/>
        <v>0.72941107073544387</v>
      </c>
      <c r="B13">
        <v>169.899799</v>
      </c>
      <c r="C13">
        <v>87.227515449999999</v>
      </c>
      <c r="D13">
        <f t="shared" si="1"/>
        <v>1.1464272424143658</v>
      </c>
      <c r="E13">
        <f t="shared" si="2"/>
        <v>0.14642724241436578</v>
      </c>
      <c r="F13">
        <f t="shared" si="3"/>
        <v>0.54114276889429991</v>
      </c>
      <c r="G13">
        <f t="shared" si="4"/>
        <v>0.27058892926455613</v>
      </c>
      <c r="H13">
        <v>2100</v>
      </c>
    </row>
    <row r="14" spans="1:8" x14ac:dyDescent="0.2">
      <c r="A14">
        <f t="shared" si="0"/>
        <v>0.76479496771056499</v>
      </c>
      <c r="B14">
        <v>178.14167689999999</v>
      </c>
      <c r="C14">
        <v>91.097431599999993</v>
      </c>
      <c r="D14">
        <f t="shared" si="1"/>
        <v>1.0977257892307033</v>
      </c>
      <c r="E14">
        <f t="shared" si="2"/>
        <v>9.7725789230703297E-2</v>
      </c>
      <c r="F14">
        <f t="shared" si="3"/>
        <v>0.41549191477521363</v>
      </c>
      <c r="G14">
        <f t="shared" si="4"/>
        <v>0.23520503228943501</v>
      </c>
      <c r="H14">
        <v>2200</v>
      </c>
    </row>
    <row r="15" spans="1:8" x14ac:dyDescent="0.2">
      <c r="A15">
        <f t="shared" si="0"/>
        <v>0.80178036951256393</v>
      </c>
      <c r="B15">
        <v>186.75658910000001</v>
      </c>
      <c r="C15">
        <v>95.324550630000005</v>
      </c>
      <c r="D15">
        <f t="shared" si="1"/>
        <v>1.049047693790319</v>
      </c>
      <c r="E15">
        <f t="shared" si="2"/>
        <v>4.9047693790319036E-2</v>
      </c>
      <c r="F15">
        <f t="shared" si="3"/>
        <v>0.24744115237076819</v>
      </c>
      <c r="G15">
        <f t="shared" si="4"/>
        <v>0.19821963048743607</v>
      </c>
      <c r="H15">
        <v>2300</v>
      </c>
    </row>
    <row r="16" spans="1:8" x14ac:dyDescent="0.2">
      <c r="A16">
        <f>B16/$B$16</f>
        <v>1</v>
      </c>
      <c r="B16">
        <v>232.92736540000001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BE13A-0473-8348-9212-ABA98BE88DD8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0.63483760962521041</v>
      </c>
      <c r="B2">
        <v>74.995597200000006</v>
      </c>
      <c r="C2">
        <v>56.344254190000001</v>
      </c>
      <c r="D2">
        <f t="shared" ref="D2:D15" si="1">1/C2*100</f>
        <v>1.7748038631017684</v>
      </c>
      <c r="E2">
        <f t="shared" ref="E2:E15" si="2">D2-$D$16</f>
        <v>0.77480386310176841</v>
      </c>
      <c r="F2">
        <f>IFERROR(E2/G2,0)</f>
        <v>2.1218063073432547</v>
      </c>
      <c r="G2">
        <f>$A$16-A2</f>
        <v>0.36516239037478959</v>
      </c>
      <c r="H2">
        <v>1000</v>
      </c>
    </row>
    <row r="3" spans="1:8" x14ac:dyDescent="0.2">
      <c r="A3">
        <f t="shared" si="0"/>
        <v>0.65665282317477647</v>
      </c>
      <c r="B3">
        <v>77.572705020000001</v>
      </c>
      <c r="C3">
        <v>60.720229320000001</v>
      </c>
      <c r="D3">
        <f t="shared" si="1"/>
        <v>1.646897601011893</v>
      </c>
      <c r="E3">
        <f t="shared" si="2"/>
        <v>0.64689760101189298</v>
      </c>
      <c r="F3">
        <f t="shared" ref="F3:F16" si="3">IFERROR(E3/G3,0)</f>
        <v>1.8840918017543156</v>
      </c>
      <c r="G3">
        <f t="shared" ref="G3:G16" si="4">$A$16-A3</f>
        <v>0.34334717682522353</v>
      </c>
      <c r="H3">
        <v>1100</v>
      </c>
    </row>
    <row r="4" spans="1:8" x14ac:dyDescent="0.2">
      <c r="A4">
        <f t="shared" si="0"/>
        <v>0.67224362047310748</v>
      </c>
      <c r="B4">
        <v>79.414500680000003</v>
      </c>
      <c r="C4">
        <v>64.430158669999997</v>
      </c>
      <c r="D4">
        <f t="shared" si="1"/>
        <v>1.5520681939056291</v>
      </c>
      <c r="E4">
        <f t="shared" si="2"/>
        <v>0.55206819390562911</v>
      </c>
      <c r="F4">
        <f t="shared" si="3"/>
        <v>1.6843858072343996</v>
      </c>
      <c r="G4">
        <f t="shared" si="4"/>
        <v>0.32775637952689252</v>
      </c>
      <c r="H4">
        <v>1200</v>
      </c>
    </row>
    <row r="5" spans="1:8" x14ac:dyDescent="0.2">
      <c r="A5">
        <f t="shared" si="0"/>
        <v>0.69772729014400692</v>
      </c>
      <c r="B5">
        <v>82.424976110000003</v>
      </c>
      <c r="C5">
        <v>68.679486839999996</v>
      </c>
      <c r="D5">
        <f t="shared" si="1"/>
        <v>1.4560388348993669</v>
      </c>
      <c r="E5">
        <f t="shared" si="2"/>
        <v>0.45603883489936692</v>
      </c>
      <c r="F5">
        <f t="shared" si="3"/>
        <v>1.50869999186043</v>
      </c>
      <c r="G5">
        <f t="shared" si="4"/>
        <v>0.30227270985599308</v>
      </c>
      <c r="H5">
        <v>1300</v>
      </c>
    </row>
    <row r="6" spans="1:8" x14ac:dyDescent="0.2">
      <c r="A6">
        <f t="shared" si="0"/>
        <v>0.71087964053634889</v>
      </c>
      <c r="B6">
        <v>83.978709469999998</v>
      </c>
      <c r="C6">
        <v>70.833316580000002</v>
      </c>
      <c r="D6">
        <f t="shared" si="1"/>
        <v>1.4117650397896984</v>
      </c>
      <c r="E6">
        <f t="shared" si="2"/>
        <v>0.41176503978969836</v>
      </c>
      <c r="F6">
        <f t="shared" si="3"/>
        <v>1.4241993907089978</v>
      </c>
      <c r="G6">
        <f t="shared" si="4"/>
        <v>0.28912035946365111</v>
      </c>
      <c r="H6">
        <v>1400</v>
      </c>
    </row>
    <row r="7" spans="1:8" x14ac:dyDescent="0.2">
      <c r="A7">
        <f t="shared" si="0"/>
        <v>0.74177917740807586</v>
      </c>
      <c r="B7">
        <v>87.628980319999997</v>
      </c>
      <c r="C7">
        <v>76.126927480000006</v>
      </c>
      <c r="D7">
        <f t="shared" si="1"/>
        <v>1.3135956396804784</v>
      </c>
      <c r="E7">
        <f t="shared" si="2"/>
        <v>0.31359563968047843</v>
      </c>
      <c r="F7">
        <f t="shared" si="3"/>
        <v>1.2144475280216467</v>
      </c>
      <c r="G7">
        <f t="shared" si="4"/>
        <v>0.25822082259192414</v>
      </c>
      <c r="H7">
        <v>1500</v>
      </c>
    </row>
    <row r="8" spans="1:8" x14ac:dyDescent="0.2">
      <c r="A8">
        <f t="shared" si="0"/>
        <v>0.76611243026495168</v>
      </c>
      <c r="B8">
        <v>90.503552970000001</v>
      </c>
      <c r="C8">
        <v>77.49982722</v>
      </c>
      <c r="D8">
        <f t="shared" si="1"/>
        <v>1.2903254573217098</v>
      </c>
      <c r="E8">
        <f t="shared" si="2"/>
        <v>0.29032545732170978</v>
      </c>
      <c r="F8">
        <f t="shared" si="3"/>
        <v>1.2413034931723614</v>
      </c>
      <c r="G8">
        <f t="shared" si="4"/>
        <v>0.23388756973504832</v>
      </c>
      <c r="H8">
        <v>1600</v>
      </c>
    </row>
    <row r="9" spans="1:8" x14ac:dyDescent="0.2">
      <c r="A9">
        <f t="shared" si="0"/>
        <v>0.80214577855952074</v>
      </c>
      <c r="B9">
        <v>94.760299000000003</v>
      </c>
      <c r="C9">
        <v>80.711861020000001</v>
      </c>
      <c r="D9">
        <f t="shared" si="1"/>
        <v>1.2389752724846785</v>
      </c>
      <c r="E9">
        <f t="shared" si="2"/>
        <v>0.23897527248467854</v>
      </c>
      <c r="F9">
        <f t="shared" si="3"/>
        <v>1.20783509568215</v>
      </c>
      <c r="G9">
        <f t="shared" si="4"/>
        <v>0.19785422144047926</v>
      </c>
      <c r="H9">
        <v>1700</v>
      </c>
    </row>
    <row r="10" spans="1:8" x14ac:dyDescent="0.2">
      <c r="A10">
        <f t="shared" si="0"/>
        <v>0.82704514325148737</v>
      </c>
      <c r="B10">
        <v>97.701748429999995</v>
      </c>
      <c r="C10">
        <v>83.886051010000003</v>
      </c>
      <c r="D10">
        <f t="shared" si="1"/>
        <v>1.192093307480633</v>
      </c>
      <c r="E10">
        <f t="shared" si="2"/>
        <v>0.19209330748063302</v>
      </c>
      <c r="F10">
        <f t="shared" si="3"/>
        <v>1.1106557577619744</v>
      </c>
      <c r="G10">
        <f t="shared" si="4"/>
        <v>0.17295485674851263</v>
      </c>
      <c r="H10">
        <v>1800</v>
      </c>
    </row>
    <row r="11" spans="1:8" x14ac:dyDescent="0.2">
      <c r="A11">
        <f t="shared" si="0"/>
        <v>0.84843815696455716</v>
      </c>
      <c r="B11">
        <v>100.2289803</v>
      </c>
      <c r="C11">
        <v>87.394484180000006</v>
      </c>
      <c r="D11">
        <f t="shared" si="1"/>
        <v>1.1442369725992929</v>
      </c>
      <c r="E11">
        <f t="shared" si="2"/>
        <v>0.14423697259929291</v>
      </c>
      <c r="F11">
        <f t="shared" si="3"/>
        <v>0.95167074845852195</v>
      </c>
      <c r="G11">
        <f t="shared" si="4"/>
        <v>0.15156184303544284</v>
      </c>
      <c r="H11">
        <v>1900</v>
      </c>
    </row>
    <row r="12" spans="1:8" x14ac:dyDescent="0.2">
      <c r="A12">
        <f t="shared" si="0"/>
        <v>0.87121859601884866</v>
      </c>
      <c r="B12">
        <v>102.92011359999999</v>
      </c>
      <c r="C12">
        <v>87.566241230000003</v>
      </c>
      <c r="D12">
        <f t="shared" si="1"/>
        <v>1.1419926057730594</v>
      </c>
      <c r="E12">
        <f t="shared" si="2"/>
        <v>0.14199260577305939</v>
      </c>
      <c r="F12">
        <f t="shared" si="3"/>
        <v>1.1025862537873998</v>
      </c>
      <c r="G12">
        <f t="shared" si="4"/>
        <v>0.12878140398115134</v>
      </c>
      <c r="H12">
        <v>2000</v>
      </c>
    </row>
    <row r="13" spans="1:8" x14ac:dyDescent="0.2">
      <c r="A13">
        <f t="shared" si="0"/>
        <v>0.89313884309914948</v>
      </c>
      <c r="B13">
        <v>105.50962939999999</v>
      </c>
      <c r="C13">
        <v>90.092983709999999</v>
      </c>
      <c r="D13">
        <f t="shared" si="1"/>
        <v>1.1099643488541757</v>
      </c>
      <c r="E13">
        <f t="shared" si="2"/>
        <v>0.10996434885417572</v>
      </c>
      <c r="F13">
        <f t="shared" si="3"/>
        <v>1.0290394755524166</v>
      </c>
      <c r="G13">
        <f t="shared" si="4"/>
        <v>0.10686115690085052</v>
      </c>
      <c r="H13">
        <v>2100</v>
      </c>
    </row>
    <row r="14" spans="1:8" x14ac:dyDescent="0.2">
      <c r="A14">
        <f t="shared" si="0"/>
        <v>0.91693845272271257</v>
      </c>
      <c r="B14">
        <v>108.3211609</v>
      </c>
      <c r="C14">
        <v>94.028361200000006</v>
      </c>
      <c r="D14">
        <f t="shared" si="1"/>
        <v>1.0635089107561728</v>
      </c>
      <c r="E14">
        <f t="shared" si="2"/>
        <v>6.3508910756172821E-2</v>
      </c>
      <c r="F14">
        <f t="shared" si="3"/>
        <v>0.76460062252583227</v>
      </c>
      <c r="G14">
        <f t="shared" si="4"/>
        <v>8.3061547277287429E-2</v>
      </c>
      <c r="H14">
        <v>2200</v>
      </c>
    </row>
    <row r="15" spans="1:8" x14ac:dyDescent="0.2">
      <c r="A15">
        <f t="shared" si="0"/>
        <v>0.94177019028858422</v>
      </c>
      <c r="B15">
        <v>111.2546213</v>
      </c>
      <c r="C15">
        <v>96.834787779999999</v>
      </c>
      <c r="D15">
        <f t="shared" si="1"/>
        <v>1.0326867264602375</v>
      </c>
      <c r="E15">
        <f t="shared" si="2"/>
        <v>3.2686726460237514E-2</v>
      </c>
      <c r="F15">
        <f t="shared" si="3"/>
        <v>0.56134008718612349</v>
      </c>
      <c r="G15">
        <f t="shared" si="4"/>
        <v>5.8229809711415781E-2</v>
      </c>
      <c r="H15">
        <v>2300</v>
      </c>
    </row>
    <row r="16" spans="1:8" x14ac:dyDescent="0.2">
      <c r="A16">
        <f>B16/$B$16</f>
        <v>1</v>
      </c>
      <c r="B16">
        <v>118.1335133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F29EA-3579-C146-8651-7F0F56939F5A}">
  <dimension ref="A1:H16"/>
  <sheetViews>
    <sheetView tabSelected="1"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0.61112089589882279</v>
      </c>
      <c r="B2">
        <v>105.8643411</v>
      </c>
      <c r="C2">
        <v>56.872249600000004</v>
      </c>
      <c r="D2">
        <f t="shared" ref="D2:D15" si="1">1/C2*100</f>
        <v>1.7583267886065825</v>
      </c>
      <c r="E2">
        <f t="shared" ref="E2:E15" si="2">D2-$D$16</f>
        <v>0.75832678860658254</v>
      </c>
      <c r="F2">
        <f>IFERROR(E2/G2,0)</f>
        <v>1.9500322352349477</v>
      </c>
      <c r="G2">
        <f>$A$16-A2</f>
        <v>0.38887910410117721</v>
      </c>
      <c r="H2">
        <v>1000</v>
      </c>
    </row>
    <row r="3" spans="1:8" x14ac:dyDescent="0.2">
      <c r="A3">
        <f t="shared" si="0"/>
        <v>0.62126008879264061</v>
      </c>
      <c r="B3">
        <v>107.62075129999999</v>
      </c>
      <c r="C3">
        <v>61.127366180000003</v>
      </c>
      <c r="D3">
        <f t="shared" si="1"/>
        <v>1.6359284924125941</v>
      </c>
      <c r="E3">
        <f t="shared" si="2"/>
        <v>0.63592849241259408</v>
      </c>
      <c r="F3">
        <f t="shared" ref="F3:F16" si="3">IFERROR(E3/G3,0)</f>
        <v>1.6790638472332122</v>
      </c>
      <c r="G3">
        <f t="shared" ref="G3:G16" si="4">$A$16-A3</f>
        <v>0.37873991120735939</v>
      </c>
      <c r="H3">
        <v>1100</v>
      </c>
    </row>
    <row r="4" spans="1:8" x14ac:dyDescent="0.2">
      <c r="A4">
        <f t="shared" si="0"/>
        <v>0.6362029636999289</v>
      </c>
      <c r="B4">
        <v>110.2093023</v>
      </c>
      <c r="C4">
        <v>64.492363769999997</v>
      </c>
      <c r="D4">
        <f t="shared" si="1"/>
        <v>1.5505711708231282</v>
      </c>
      <c r="E4">
        <f t="shared" si="2"/>
        <v>0.55057117082312823</v>
      </c>
      <c r="F4">
        <f t="shared" si="3"/>
        <v>1.5134020233441374</v>
      </c>
      <c r="G4">
        <f t="shared" si="4"/>
        <v>0.3637970363000711</v>
      </c>
      <c r="H4">
        <v>1200</v>
      </c>
    </row>
    <row r="5" spans="1:8" x14ac:dyDescent="0.2">
      <c r="A5">
        <f t="shared" si="0"/>
        <v>0.653881483642901</v>
      </c>
      <c r="B5">
        <v>113.2717485</v>
      </c>
      <c r="C5">
        <v>68.315628320000002</v>
      </c>
      <c r="D5">
        <f t="shared" si="1"/>
        <v>1.4637938998611848</v>
      </c>
      <c r="E5">
        <f t="shared" si="2"/>
        <v>0.4637938998611848</v>
      </c>
      <c r="F5">
        <f t="shared" si="3"/>
        <v>1.3399858081636904</v>
      </c>
      <c r="G5">
        <f t="shared" si="4"/>
        <v>0.346118516357099</v>
      </c>
      <c r="H5">
        <v>1300</v>
      </c>
    </row>
    <row r="6" spans="1:8" x14ac:dyDescent="0.2">
      <c r="A6">
        <f t="shared" si="0"/>
        <v>0.67381016801992277</v>
      </c>
      <c r="B6">
        <v>116.7239902</v>
      </c>
      <c r="C6">
        <v>70.814117159999995</v>
      </c>
      <c r="D6">
        <f t="shared" si="1"/>
        <v>1.4121478034394803</v>
      </c>
      <c r="E6">
        <f t="shared" si="2"/>
        <v>0.41214780343948032</v>
      </c>
      <c r="F6">
        <f t="shared" si="3"/>
        <v>1.2635213088575157</v>
      </c>
      <c r="G6">
        <f t="shared" si="4"/>
        <v>0.32618983198007723</v>
      </c>
      <c r="H6">
        <v>1400</v>
      </c>
    </row>
    <row r="7" spans="1:8" x14ac:dyDescent="0.2">
      <c r="A7">
        <f t="shared" si="0"/>
        <v>0.68646885893920861</v>
      </c>
      <c r="B7">
        <v>118.9168525</v>
      </c>
      <c r="C7">
        <v>74.524030670000002</v>
      </c>
      <c r="D7">
        <f t="shared" si="1"/>
        <v>1.3418490532645797</v>
      </c>
      <c r="E7">
        <f t="shared" si="2"/>
        <v>0.34184905326457971</v>
      </c>
      <c r="F7">
        <f t="shared" si="3"/>
        <v>1.0903192968582909</v>
      </c>
      <c r="G7">
        <f t="shared" si="4"/>
        <v>0.31353114106079139</v>
      </c>
      <c r="H7">
        <v>1500</v>
      </c>
    </row>
    <row r="8" spans="1:8" x14ac:dyDescent="0.2">
      <c r="A8">
        <f t="shared" si="0"/>
        <v>0.71896755895346631</v>
      </c>
      <c r="B8">
        <v>124.54659530000001</v>
      </c>
      <c r="C8">
        <v>78.439948670000007</v>
      </c>
      <c r="D8">
        <f t="shared" si="1"/>
        <v>1.2748605996761164</v>
      </c>
      <c r="E8">
        <f t="shared" si="2"/>
        <v>0.27486059967611642</v>
      </c>
      <c r="F8">
        <f t="shared" si="3"/>
        <v>0.97803868710874087</v>
      </c>
      <c r="G8">
        <f t="shared" si="4"/>
        <v>0.28103244104653369</v>
      </c>
      <c r="H8">
        <v>1600</v>
      </c>
    </row>
    <row r="9" spans="1:8" x14ac:dyDescent="0.2">
      <c r="A9">
        <f t="shared" si="0"/>
        <v>0.73086420597608026</v>
      </c>
      <c r="B9">
        <v>126.60744889999999</v>
      </c>
      <c r="C9">
        <v>81.889021720000002</v>
      </c>
      <c r="D9">
        <f t="shared" si="1"/>
        <v>1.2211649119698385</v>
      </c>
      <c r="E9">
        <f t="shared" si="2"/>
        <v>0.22116491196983845</v>
      </c>
      <c r="F9">
        <f t="shared" si="3"/>
        <v>0.8217595610867805</v>
      </c>
      <c r="G9">
        <f t="shared" si="4"/>
        <v>0.26913579402391974</v>
      </c>
      <c r="H9">
        <v>1700</v>
      </c>
    </row>
    <row r="10" spans="1:8" x14ac:dyDescent="0.2">
      <c r="A10">
        <f t="shared" si="0"/>
        <v>0.76566588351323617</v>
      </c>
      <c r="B10">
        <v>132.63613599999999</v>
      </c>
      <c r="C10">
        <v>84.383690659999999</v>
      </c>
      <c r="D10">
        <f t="shared" si="1"/>
        <v>1.1850631231919146</v>
      </c>
      <c r="E10">
        <f t="shared" si="2"/>
        <v>0.18506312319191465</v>
      </c>
      <c r="F10">
        <f t="shared" si="3"/>
        <v>0.78974041836698494</v>
      </c>
      <c r="G10">
        <f t="shared" si="4"/>
        <v>0.23433411648676383</v>
      </c>
      <c r="H10">
        <v>1800</v>
      </c>
    </row>
    <row r="11" spans="1:8" x14ac:dyDescent="0.2">
      <c r="A11">
        <f t="shared" si="0"/>
        <v>0.7796614074758027</v>
      </c>
      <c r="B11">
        <v>135.06057759999999</v>
      </c>
      <c r="C11">
        <v>88.298878799999997</v>
      </c>
      <c r="D11">
        <f t="shared" si="1"/>
        <v>1.1325172115322488</v>
      </c>
      <c r="E11">
        <f t="shared" si="2"/>
        <v>0.13251721153224882</v>
      </c>
      <c r="F11">
        <f t="shared" si="3"/>
        <v>0.60142533368363948</v>
      </c>
      <c r="G11">
        <f t="shared" si="4"/>
        <v>0.2203385925241973</v>
      </c>
      <c r="H11">
        <v>1900</v>
      </c>
    </row>
    <row r="12" spans="1:8" x14ac:dyDescent="0.2">
      <c r="A12">
        <f t="shared" si="0"/>
        <v>0.77900965350447582</v>
      </c>
      <c r="B12">
        <v>134.94767440000001</v>
      </c>
      <c r="C12">
        <v>89.569080779999993</v>
      </c>
      <c r="D12">
        <f t="shared" si="1"/>
        <v>1.1164566960960611</v>
      </c>
      <c r="E12">
        <f t="shared" si="2"/>
        <v>0.11645669609606113</v>
      </c>
      <c r="F12">
        <f t="shared" si="3"/>
        <v>0.52697639486446879</v>
      </c>
      <c r="G12">
        <f t="shared" si="4"/>
        <v>0.22099034649552418</v>
      </c>
      <c r="H12">
        <v>2000</v>
      </c>
    </row>
    <row r="13" spans="1:8" x14ac:dyDescent="0.2">
      <c r="A13">
        <f t="shared" si="0"/>
        <v>0.81530719389655537</v>
      </c>
      <c r="B13">
        <v>141.2354895</v>
      </c>
      <c r="C13">
        <v>92.389538819999999</v>
      </c>
      <c r="D13">
        <f t="shared" si="1"/>
        <v>1.0823736245163778</v>
      </c>
      <c r="E13">
        <f t="shared" si="2"/>
        <v>8.2373624516377753E-2</v>
      </c>
      <c r="F13">
        <f t="shared" si="3"/>
        <v>0.44600342728152115</v>
      </c>
      <c r="G13">
        <f t="shared" si="4"/>
        <v>0.18469280610344463</v>
      </c>
      <c r="H13">
        <v>2100</v>
      </c>
    </row>
    <row r="14" spans="1:8" x14ac:dyDescent="0.2">
      <c r="A14">
        <f t="shared" si="0"/>
        <v>0.8237479184764559</v>
      </c>
      <c r="B14">
        <v>142.69767440000001</v>
      </c>
      <c r="C14">
        <v>93.552485259999997</v>
      </c>
      <c r="D14">
        <f t="shared" si="1"/>
        <v>1.0689186901030063</v>
      </c>
      <c r="E14">
        <f t="shared" si="2"/>
        <v>6.891869010300633E-2</v>
      </c>
      <c r="F14">
        <f t="shared" si="3"/>
        <v>0.39102341094224202</v>
      </c>
      <c r="G14">
        <f t="shared" si="4"/>
        <v>0.1762520815235441</v>
      </c>
      <c r="H14">
        <v>2200</v>
      </c>
    </row>
    <row r="15" spans="1:8" x14ac:dyDescent="0.2">
      <c r="A15">
        <f t="shared" si="0"/>
        <v>0.8585939105639192</v>
      </c>
      <c r="B15">
        <v>148.73403809999999</v>
      </c>
      <c r="C15">
        <v>96.632925889999996</v>
      </c>
      <c r="D15">
        <f t="shared" si="1"/>
        <v>1.0348439631625441</v>
      </c>
      <c r="E15">
        <f t="shared" si="2"/>
        <v>3.4843963162544123E-2</v>
      </c>
      <c r="F15">
        <f t="shared" si="3"/>
        <v>0.24641062702108379</v>
      </c>
      <c r="G15">
        <f t="shared" si="4"/>
        <v>0.1414060894360808</v>
      </c>
      <c r="H15">
        <v>2300</v>
      </c>
    </row>
    <row r="16" spans="1:8" x14ac:dyDescent="0.2">
      <c r="A16">
        <f>B16/$B$16</f>
        <v>1</v>
      </c>
      <c r="B16">
        <v>173.22978449999999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9526-B852-F242-A3F7-3FC81F3AD9E0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0.5950119502599206</v>
      </c>
      <c r="B2">
        <v>74.243625665452498</v>
      </c>
      <c r="C2">
        <v>59.396140458614688</v>
      </c>
      <c r="D2">
        <f t="shared" ref="D2:D15" si="1">1/C2*100</f>
        <v>1.6836110768792589</v>
      </c>
      <c r="E2">
        <f t="shared" ref="E2:E15" si="2">D2-$D$16</f>
        <v>0.68361107687925893</v>
      </c>
      <c r="F2">
        <f>IFERROR(E2/G2,0)</f>
        <v>1.687978391752545</v>
      </c>
      <c r="G2">
        <f>$A$16-A2</f>
        <v>0.4049880497400794</v>
      </c>
      <c r="H2">
        <v>1000</v>
      </c>
    </row>
    <row r="3" spans="1:8" x14ac:dyDescent="0.2">
      <c r="A3">
        <f t="shared" si="0"/>
        <v>0.60757316040128151</v>
      </c>
      <c r="B3">
        <v>75.810971973762605</v>
      </c>
      <c r="C3">
        <v>62.821920806558076</v>
      </c>
      <c r="D3">
        <f t="shared" si="1"/>
        <v>1.5918010579129067</v>
      </c>
      <c r="E3">
        <f t="shared" si="2"/>
        <v>0.59180105791290671</v>
      </c>
      <c r="F3">
        <f t="shared" ref="F3:F16" si="3">IFERROR(E3/G3,0)</f>
        <v>1.508054491171045</v>
      </c>
      <c r="G3">
        <f t="shared" ref="G3:G16" si="4">$A$16-A3</f>
        <v>0.39242683959871849</v>
      </c>
      <c r="H3">
        <v>1100</v>
      </c>
    </row>
    <row r="4" spans="1:8" x14ac:dyDescent="0.2">
      <c r="A4">
        <f t="shared" si="0"/>
        <v>0.65832603402222156</v>
      </c>
      <c r="B4">
        <v>82.143747893495103</v>
      </c>
      <c r="C4">
        <v>69.583103746042326</v>
      </c>
      <c r="D4">
        <f t="shared" si="1"/>
        <v>1.4371304902547941</v>
      </c>
      <c r="E4">
        <f t="shared" si="2"/>
        <v>0.43713049025479411</v>
      </c>
      <c r="F4">
        <f t="shared" si="3"/>
        <v>1.279378980496348</v>
      </c>
      <c r="G4">
        <f t="shared" si="4"/>
        <v>0.34167396597777844</v>
      </c>
      <c r="H4">
        <v>1200</v>
      </c>
    </row>
    <row r="5" spans="1:8" x14ac:dyDescent="0.2">
      <c r="A5">
        <f t="shared" si="0"/>
        <v>0.67009163123171633</v>
      </c>
      <c r="B5">
        <v>83.611820248295103</v>
      </c>
      <c r="C5">
        <v>73.368990705428885</v>
      </c>
      <c r="D5">
        <f t="shared" si="1"/>
        <v>1.3629736355716362</v>
      </c>
      <c r="E5">
        <f t="shared" si="2"/>
        <v>0.3629736355716362</v>
      </c>
      <c r="F5">
        <f t="shared" si="3"/>
        <v>1.1002256078765205</v>
      </c>
      <c r="G5">
        <f t="shared" si="4"/>
        <v>0.32990836876828367</v>
      </c>
      <c r="H5">
        <v>1300</v>
      </c>
    </row>
    <row r="6" spans="1:8" x14ac:dyDescent="0.2">
      <c r="A6">
        <f t="shared" si="0"/>
        <v>0.68574875314369688</v>
      </c>
      <c r="B6">
        <v>85.5654642006958</v>
      </c>
      <c r="C6">
        <v>77.268366171374709</v>
      </c>
      <c r="D6">
        <f t="shared" si="1"/>
        <v>1.2941906883110281</v>
      </c>
      <c r="E6">
        <f t="shared" si="2"/>
        <v>0.29419068831102813</v>
      </c>
      <c r="F6">
        <f t="shared" si="3"/>
        <v>0.93616394924139146</v>
      </c>
      <c r="G6">
        <f t="shared" si="4"/>
        <v>0.31425124685630312</v>
      </c>
      <c r="H6">
        <v>1400</v>
      </c>
    </row>
    <row r="7" spans="1:8" x14ac:dyDescent="0.2">
      <c r="A7">
        <f t="shared" si="0"/>
        <v>0.7146061430356202</v>
      </c>
      <c r="B7">
        <v>89.166193987521197</v>
      </c>
      <c r="C7">
        <v>79.748018276212349</v>
      </c>
      <c r="D7">
        <f t="shared" si="1"/>
        <v>1.2539496549449496</v>
      </c>
      <c r="E7">
        <f t="shared" si="2"/>
        <v>0.25394965494494959</v>
      </c>
      <c r="F7">
        <f t="shared" si="3"/>
        <v>0.88982172793104375</v>
      </c>
      <c r="G7">
        <f t="shared" si="4"/>
        <v>0.2853938569643798</v>
      </c>
      <c r="H7">
        <v>1500</v>
      </c>
    </row>
    <row r="8" spans="1:8" x14ac:dyDescent="0.2">
      <c r="A8">
        <f t="shared" si="0"/>
        <v>0.7524884511295965</v>
      </c>
      <c r="B8">
        <v>93.893023255813901</v>
      </c>
      <c r="C8">
        <v>83.475889289054123</v>
      </c>
      <c r="D8">
        <f t="shared" si="1"/>
        <v>1.1979506999168035</v>
      </c>
      <c r="E8">
        <f t="shared" si="2"/>
        <v>0.19795069991680347</v>
      </c>
      <c r="F8">
        <f t="shared" si="3"/>
        <v>0.79976348909864414</v>
      </c>
      <c r="G8">
        <f t="shared" si="4"/>
        <v>0.2475115488704035</v>
      </c>
      <c r="H8">
        <v>1600</v>
      </c>
    </row>
    <row r="9" spans="1:8" x14ac:dyDescent="0.2">
      <c r="A9">
        <f t="shared" si="0"/>
        <v>0.78687715674150316</v>
      </c>
      <c r="B9">
        <v>98.183932346722997</v>
      </c>
      <c r="C9">
        <v>86.015490523478405</v>
      </c>
      <c r="D9">
        <f t="shared" si="1"/>
        <v>1.1625812907816231</v>
      </c>
      <c r="E9">
        <f t="shared" si="2"/>
        <v>0.16258129078162309</v>
      </c>
      <c r="F9">
        <f t="shared" si="3"/>
        <v>0.76285248589907428</v>
      </c>
      <c r="G9">
        <f t="shared" si="4"/>
        <v>0.21312284325849684</v>
      </c>
      <c r="H9">
        <v>1700</v>
      </c>
    </row>
    <row r="10" spans="1:8" x14ac:dyDescent="0.2">
      <c r="A10">
        <f t="shared" si="0"/>
        <v>0.79208776380777435</v>
      </c>
      <c r="B10">
        <v>98.834094684385306</v>
      </c>
      <c r="C10">
        <v>87.116924468449824</v>
      </c>
      <c r="D10">
        <f t="shared" si="1"/>
        <v>1.1478825797645773</v>
      </c>
      <c r="E10">
        <f t="shared" si="2"/>
        <v>0.1478825797645773</v>
      </c>
      <c r="F10">
        <f t="shared" si="3"/>
        <v>0.71127405713558955</v>
      </c>
      <c r="G10">
        <f t="shared" si="4"/>
        <v>0.20791223619222565</v>
      </c>
      <c r="H10">
        <v>1800</v>
      </c>
    </row>
    <row r="11" spans="1:8" x14ac:dyDescent="0.2">
      <c r="A11">
        <f t="shared" si="0"/>
        <v>0.82570072092788871</v>
      </c>
      <c r="B11">
        <v>103.02820844099899</v>
      </c>
      <c r="C11">
        <v>89.95043133602401</v>
      </c>
      <c r="D11">
        <f t="shared" si="1"/>
        <v>1.1117234071555948</v>
      </c>
      <c r="E11">
        <f t="shared" si="2"/>
        <v>0.11172340715559481</v>
      </c>
      <c r="F11">
        <f t="shared" si="3"/>
        <v>0.64098605427606203</v>
      </c>
      <c r="G11">
        <f t="shared" si="4"/>
        <v>0.17429927907211129</v>
      </c>
      <c r="H11">
        <v>1900</v>
      </c>
    </row>
    <row r="12" spans="1:8" x14ac:dyDescent="0.2">
      <c r="A12">
        <f t="shared" si="0"/>
        <v>0.85127463409273774</v>
      </c>
      <c r="B12">
        <v>106.21923684804599</v>
      </c>
      <c r="C12">
        <v>93.015448823007702</v>
      </c>
      <c r="D12">
        <f t="shared" si="1"/>
        <v>1.0750902271114413</v>
      </c>
      <c r="E12">
        <f t="shared" si="2"/>
        <v>7.509022711144131E-2</v>
      </c>
      <c r="F12">
        <f t="shared" si="3"/>
        <v>0.50489186329024627</v>
      </c>
      <c r="G12">
        <f t="shared" si="4"/>
        <v>0.14872536590726226</v>
      </c>
      <c r="H12">
        <v>2000</v>
      </c>
    </row>
    <row r="13" spans="1:8" x14ac:dyDescent="0.2">
      <c r="A13">
        <f t="shared" si="0"/>
        <v>0.87897460348064294</v>
      </c>
      <c r="B13">
        <v>109.675547527658</v>
      </c>
      <c r="C13">
        <v>94.3644608683108</v>
      </c>
      <c r="D13">
        <f t="shared" si="1"/>
        <v>1.0597209911425638</v>
      </c>
      <c r="E13">
        <f t="shared" si="2"/>
        <v>5.9720991142563795E-2</v>
      </c>
      <c r="F13">
        <f t="shared" si="3"/>
        <v>0.49345833899426134</v>
      </c>
      <c r="G13">
        <f t="shared" si="4"/>
        <v>0.12102539651935706</v>
      </c>
      <c r="H13">
        <v>2100</v>
      </c>
    </row>
    <row r="14" spans="1:8" x14ac:dyDescent="0.2">
      <c r="A14">
        <f t="shared" si="0"/>
        <v>0.88962755766940005</v>
      </c>
      <c r="B14">
        <v>111.004787961696</v>
      </c>
      <c r="C14">
        <v>93.859791056327296</v>
      </c>
      <c r="D14">
        <f t="shared" si="1"/>
        <v>1.065418949632946</v>
      </c>
      <c r="E14">
        <f t="shared" si="2"/>
        <v>6.5418949632946033E-2</v>
      </c>
      <c r="F14">
        <f t="shared" si="3"/>
        <v>0.59271090003604199</v>
      </c>
      <c r="G14">
        <f t="shared" si="4"/>
        <v>0.11037244233059995</v>
      </c>
      <c r="H14">
        <v>2200</v>
      </c>
    </row>
    <row r="15" spans="1:8" x14ac:dyDescent="0.2">
      <c r="A15">
        <f t="shared" si="0"/>
        <v>0.90542047643558499</v>
      </c>
      <c r="B15">
        <v>112.97537619699</v>
      </c>
      <c r="C15">
        <v>95.289944190919883</v>
      </c>
      <c r="D15">
        <f t="shared" si="1"/>
        <v>1.0494286763317147</v>
      </c>
      <c r="E15">
        <f t="shared" si="2"/>
        <v>4.942867633171466E-2</v>
      </c>
      <c r="F15">
        <f t="shared" si="3"/>
        <v>0.52261498545243157</v>
      </c>
      <c r="G15">
        <f t="shared" si="4"/>
        <v>9.4579523564415013E-2</v>
      </c>
      <c r="H15">
        <v>2300</v>
      </c>
    </row>
    <row r="16" spans="1:8" x14ac:dyDescent="0.2">
      <c r="A16">
        <f>B16/$B$16</f>
        <v>1</v>
      </c>
      <c r="B16">
        <v>124.77669672520101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933C-6AEE-EB4C-AB4E-BE04B1CF5FEE}">
  <dimension ref="A1:H16"/>
  <sheetViews>
    <sheetView workbookViewId="0">
      <selection activeCell="F25" sqref="F25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0.59107990960211421</v>
      </c>
      <c r="B2">
        <v>146.81395348837199</v>
      </c>
      <c r="C2">
        <v>61.591188555070929</v>
      </c>
      <c r="D2">
        <f t="shared" ref="D2:D15" si="1">1/C2*100</f>
        <v>1.623608869158067</v>
      </c>
      <c r="E2">
        <f t="shared" ref="E2:E15" si="2">D2-$D$16</f>
        <v>0.62360886915806701</v>
      </c>
      <c r="F2">
        <f>IFERROR(E2/G2,0)</f>
        <v>1.5250140156999517</v>
      </c>
      <c r="G2">
        <f>$A$16-A2</f>
        <v>0.40892009039788579</v>
      </c>
      <c r="H2">
        <v>1000</v>
      </c>
    </row>
    <row r="3" spans="1:8" x14ac:dyDescent="0.2">
      <c r="A3">
        <f t="shared" si="0"/>
        <v>0.6085097481854409</v>
      </c>
      <c r="B3">
        <v>151.14322178105499</v>
      </c>
      <c r="C3">
        <v>65.703820468894008</v>
      </c>
      <c r="D3">
        <f t="shared" si="1"/>
        <v>1.521981511673933</v>
      </c>
      <c r="E3">
        <f t="shared" si="2"/>
        <v>0.52198151167393303</v>
      </c>
      <c r="F3">
        <f t="shared" ref="F3:F16" si="3">IFERROR(E3/G3,0)</f>
        <v>1.3333193080914438</v>
      </c>
      <c r="G3">
        <f t="shared" ref="G3:G16" si="4">$A$16-A3</f>
        <v>0.3914902518145591</v>
      </c>
      <c r="H3">
        <v>1100</v>
      </c>
    </row>
    <row r="4" spans="1:8" x14ac:dyDescent="0.2">
      <c r="A4">
        <f t="shared" si="0"/>
        <v>0.63604615130308972</v>
      </c>
      <c r="B4">
        <v>157.98278465720301</v>
      </c>
      <c r="C4">
        <v>70.465950865109065</v>
      </c>
      <c r="D4">
        <f t="shared" si="1"/>
        <v>1.4191251061300103</v>
      </c>
      <c r="E4">
        <f t="shared" si="2"/>
        <v>0.41912510613001031</v>
      </c>
      <c r="F4">
        <f t="shared" si="3"/>
        <v>1.1515886083651363</v>
      </c>
      <c r="G4">
        <f t="shared" si="4"/>
        <v>0.36395384869691028</v>
      </c>
      <c r="H4">
        <v>1200</v>
      </c>
    </row>
    <row r="5" spans="1:8" x14ac:dyDescent="0.2">
      <c r="A5">
        <f t="shared" si="0"/>
        <v>0.66182331078981038</v>
      </c>
      <c r="B5">
        <v>164.38538205980001</v>
      </c>
      <c r="C5">
        <v>73.937013854601986</v>
      </c>
      <c r="D5">
        <f t="shared" si="1"/>
        <v>1.3525025530061463</v>
      </c>
      <c r="E5">
        <f t="shared" si="2"/>
        <v>0.3525025530061463</v>
      </c>
      <c r="F5">
        <f t="shared" si="3"/>
        <v>1.042362067679516</v>
      </c>
      <c r="G5">
        <f t="shared" si="4"/>
        <v>0.33817668921018962</v>
      </c>
      <c r="H5">
        <v>1300</v>
      </c>
    </row>
    <row r="6" spans="1:8" x14ac:dyDescent="0.2">
      <c r="A6">
        <f t="shared" si="0"/>
        <v>0.68470053007936449</v>
      </c>
      <c r="B6">
        <v>170.06768483165499</v>
      </c>
      <c r="C6">
        <v>80.180836372944214</v>
      </c>
      <c r="D6">
        <f t="shared" si="1"/>
        <v>1.2471808043367263</v>
      </c>
      <c r="E6">
        <f t="shared" si="2"/>
        <v>0.24718080433672629</v>
      </c>
      <c r="F6">
        <f t="shared" si="3"/>
        <v>0.78395566094337088</v>
      </c>
      <c r="G6">
        <f t="shared" si="4"/>
        <v>0.31529946992063551</v>
      </c>
      <c r="H6">
        <v>1400</v>
      </c>
    </row>
    <row r="7" spans="1:8" x14ac:dyDescent="0.2">
      <c r="A7">
        <f t="shared" si="0"/>
        <v>0.71210908301616371</v>
      </c>
      <c r="B7">
        <v>176.87549194991001</v>
      </c>
      <c r="C7">
        <v>82.203395891327077</v>
      </c>
      <c r="D7">
        <f t="shared" si="1"/>
        <v>1.2164947556692187</v>
      </c>
      <c r="E7">
        <f t="shared" si="2"/>
        <v>0.21649475566921872</v>
      </c>
      <c r="F7">
        <f t="shared" si="3"/>
        <v>0.75200273053899047</v>
      </c>
      <c r="G7">
        <f t="shared" si="4"/>
        <v>0.28789091698383629</v>
      </c>
      <c r="H7">
        <v>1500</v>
      </c>
    </row>
    <row r="8" spans="1:8" x14ac:dyDescent="0.2">
      <c r="A8">
        <f t="shared" si="0"/>
        <v>0.74116566997873412</v>
      </c>
      <c r="B8">
        <v>184.09264201296199</v>
      </c>
      <c r="C8">
        <v>87.188088533004432</v>
      </c>
      <c r="D8">
        <f t="shared" si="1"/>
        <v>1.1469456629060713</v>
      </c>
      <c r="E8">
        <f t="shared" si="2"/>
        <v>0.14694566290607125</v>
      </c>
      <c r="F8">
        <f t="shared" si="3"/>
        <v>0.5677209159001364</v>
      </c>
      <c r="G8">
        <f t="shared" si="4"/>
        <v>0.25883433002126588</v>
      </c>
      <c r="H8">
        <v>1600</v>
      </c>
    </row>
    <row r="9" spans="1:8" x14ac:dyDescent="0.2">
      <c r="A9">
        <f t="shared" si="0"/>
        <v>0.75386641894757289</v>
      </c>
      <c r="B9">
        <v>187.24728682170499</v>
      </c>
      <c r="C9">
        <v>86.679118877104074</v>
      </c>
      <c r="D9">
        <f t="shared" si="1"/>
        <v>1.1536803937956801</v>
      </c>
      <c r="E9">
        <f t="shared" si="2"/>
        <v>0.1536803937956801</v>
      </c>
      <c r="F9">
        <f t="shared" si="3"/>
        <v>0.62437800294688672</v>
      </c>
      <c r="G9">
        <f t="shared" si="4"/>
        <v>0.24613358105242711</v>
      </c>
      <c r="H9">
        <v>1700</v>
      </c>
    </row>
    <row r="10" spans="1:8" x14ac:dyDescent="0.2">
      <c r="A10">
        <f t="shared" si="0"/>
        <v>0.79648021162777882</v>
      </c>
      <c r="B10">
        <v>197.83181063122899</v>
      </c>
      <c r="C10">
        <v>92.331611076672544</v>
      </c>
      <c r="D10">
        <f t="shared" si="1"/>
        <v>1.0830526927225346</v>
      </c>
      <c r="E10">
        <f t="shared" si="2"/>
        <v>8.3052692722534571E-2</v>
      </c>
      <c r="F10">
        <f t="shared" si="3"/>
        <v>0.40808165823481468</v>
      </c>
      <c r="G10">
        <f t="shared" si="4"/>
        <v>0.20351978837222118</v>
      </c>
      <c r="H10">
        <v>1800</v>
      </c>
    </row>
    <row r="11" spans="1:8" x14ac:dyDescent="0.2">
      <c r="A11">
        <f t="shared" si="0"/>
        <v>0.8345119791362039</v>
      </c>
      <c r="B11">
        <v>207.27823920265701</v>
      </c>
      <c r="C11">
        <v>95.232917001437841</v>
      </c>
      <c r="D11">
        <f t="shared" si="1"/>
        <v>1.0500570931633879</v>
      </c>
      <c r="E11">
        <f t="shared" si="2"/>
        <v>5.0057093163387911E-2</v>
      </c>
      <c r="F11">
        <f t="shared" si="3"/>
        <v>0.3024816714956492</v>
      </c>
      <c r="G11">
        <f t="shared" si="4"/>
        <v>0.1654880208637961</v>
      </c>
      <c r="H11">
        <v>1900</v>
      </c>
    </row>
    <row r="12" spans="1:8" x14ac:dyDescent="0.2">
      <c r="A12">
        <f t="shared" si="0"/>
        <v>0.82925238737053986</v>
      </c>
      <c r="B12">
        <v>205.97184822521399</v>
      </c>
      <c r="C12">
        <v>91.307612767226473</v>
      </c>
      <c r="D12">
        <f t="shared" si="1"/>
        <v>1.0951989321518383</v>
      </c>
      <c r="E12">
        <f t="shared" si="2"/>
        <v>9.5198932151838278E-2</v>
      </c>
      <c r="F12">
        <f t="shared" si="3"/>
        <v>0.55754180504081041</v>
      </c>
      <c r="G12">
        <f t="shared" si="4"/>
        <v>0.17074761262946014</v>
      </c>
      <c r="H12">
        <v>2000</v>
      </c>
    </row>
    <row r="13" spans="1:8" x14ac:dyDescent="0.2">
      <c r="A13">
        <f t="shared" si="0"/>
        <v>0.88312318117184174</v>
      </c>
      <c r="B13">
        <v>219.352415026833</v>
      </c>
      <c r="C13">
        <v>97.770211531768652</v>
      </c>
      <c r="D13">
        <f t="shared" si="1"/>
        <v>1.0228064195964925</v>
      </c>
      <c r="E13">
        <f t="shared" si="2"/>
        <v>2.2806419596492544E-2</v>
      </c>
      <c r="F13">
        <f t="shared" si="3"/>
        <v>0.19513210425434649</v>
      </c>
      <c r="G13">
        <f t="shared" si="4"/>
        <v>0.11687681882815826</v>
      </c>
      <c r="H13">
        <v>2100</v>
      </c>
    </row>
    <row r="14" spans="1:8" x14ac:dyDescent="0.2">
      <c r="A14">
        <f t="shared" si="0"/>
        <v>0.88614271658838983</v>
      </c>
      <c r="B14">
        <v>220.102415026833</v>
      </c>
      <c r="C14">
        <v>101.11480887907949</v>
      </c>
      <c r="D14">
        <f t="shared" si="1"/>
        <v>0.98897482088491451</v>
      </c>
      <c r="E14">
        <f t="shared" si="2"/>
        <v>-1.1025179115085493E-2</v>
      </c>
      <c r="F14">
        <f t="shared" si="3"/>
        <v>-9.6833323128112173E-2</v>
      </c>
      <c r="G14">
        <f t="shared" si="4"/>
        <v>0.11385728341161017</v>
      </c>
      <c r="H14">
        <v>2200</v>
      </c>
    </row>
    <row r="15" spans="1:8" x14ac:dyDescent="0.2">
      <c r="A15">
        <f t="shared" si="0"/>
        <v>0.9186106924323888</v>
      </c>
      <c r="B15">
        <v>228.166894664842</v>
      </c>
      <c r="C15">
        <v>100.52920354901931</v>
      </c>
      <c r="D15">
        <f t="shared" si="1"/>
        <v>0.9947358227227846</v>
      </c>
      <c r="E15">
        <f t="shared" si="2"/>
        <v>-5.2641772772153983E-3</v>
      </c>
      <c r="F15">
        <f t="shared" si="3"/>
        <v>-6.4678978535876772E-2</v>
      </c>
      <c r="G15">
        <f t="shared" si="4"/>
        <v>8.1389307567611202E-2</v>
      </c>
      <c r="H15">
        <v>2300</v>
      </c>
    </row>
    <row r="16" spans="1:8" x14ac:dyDescent="0.2">
      <c r="A16">
        <f>B16/$B$16</f>
        <v>1</v>
      </c>
      <c r="B16">
        <v>248.38258093935201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CBB-20F0-7C46-83B1-7FDBC565404C}">
  <dimension ref="A1:G22"/>
  <sheetViews>
    <sheetView workbookViewId="0">
      <selection activeCell="F29" sqref="F29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7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>
        <f>B2/$B$22</f>
        <v>0.31212302592200397</v>
      </c>
      <c r="B2">
        <v>90.266311584553904</v>
      </c>
      <c r="C2">
        <v>63.0287236066197</v>
      </c>
      <c r="D2">
        <f>1/C2*100</f>
        <v>1.586578218275982</v>
      </c>
      <c r="E2">
        <f>D2-$D$22</f>
        <v>0.58600189240290823</v>
      </c>
      <c r="F2">
        <f>IFERROR(E2/G2,0)</f>
        <v>0.85189927048853875</v>
      </c>
      <c r="G2">
        <f>$A$22-A2</f>
        <v>0.68787697407799597</v>
      </c>
    </row>
    <row r="3" spans="1:7" x14ac:dyDescent="0.2">
      <c r="A3">
        <f t="shared" ref="A3:A22" si="0">B3/$B$22</f>
        <v>0.34803628159675842</v>
      </c>
      <c r="B3">
        <v>100.65246338215699</v>
      </c>
      <c r="C3">
        <v>72.177515693361201</v>
      </c>
      <c r="D3">
        <f t="shared" ref="D3:D22" si="1">1/C3*100</f>
        <v>1.3854730110806222</v>
      </c>
      <c r="E3">
        <f t="shared" ref="E3:E22" si="2">D3-$D$22</f>
        <v>0.38489668520754838</v>
      </c>
      <c r="F3">
        <f t="shared" ref="F3:F22" si="3">IFERROR(E3/G3,0)</f>
        <v>0.59036519110330088</v>
      </c>
      <c r="G3">
        <f t="shared" ref="G3:G22" si="4">$A$22-A3</f>
        <v>0.65196371840324163</v>
      </c>
    </row>
    <row r="4" spans="1:7" x14ac:dyDescent="0.2">
      <c r="A4">
        <f t="shared" si="0"/>
        <v>0.38210783185229391</v>
      </c>
      <c r="B4">
        <v>110.50599201065199</v>
      </c>
      <c r="C4">
        <v>81.326003424006004</v>
      </c>
      <c r="D4">
        <f t="shared" si="1"/>
        <v>1.2296190122442654</v>
      </c>
      <c r="E4">
        <f t="shared" si="2"/>
        <v>0.22904268637119163</v>
      </c>
      <c r="F4">
        <f t="shared" si="3"/>
        <v>0.37068391246616245</v>
      </c>
      <c r="G4">
        <f t="shared" si="4"/>
        <v>0.61789216814770609</v>
      </c>
    </row>
    <row r="5" spans="1:7" x14ac:dyDescent="0.2">
      <c r="A5">
        <f t="shared" si="0"/>
        <v>0.4161793821078294</v>
      </c>
      <c r="B5">
        <v>120.35952063914699</v>
      </c>
      <c r="C5">
        <v>92.0744911546509</v>
      </c>
      <c r="D5">
        <f t="shared" si="1"/>
        <v>1.0860771397806284</v>
      </c>
      <c r="E5">
        <f t="shared" si="2"/>
        <v>8.5500813907554596E-2</v>
      </c>
      <c r="F5">
        <f t="shared" si="3"/>
        <v>0.14645048716547088</v>
      </c>
      <c r="G5">
        <f t="shared" si="4"/>
        <v>0.58382061789217055</v>
      </c>
    </row>
    <row r="6" spans="1:7" x14ac:dyDescent="0.2">
      <c r="A6">
        <f t="shared" si="0"/>
        <v>0.45209263778258701</v>
      </c>
      <c r="B6">
        <v>130.74567243675099</v>
      </c>
      <c r="C6">
        <v>90.137568955678105</v>
      </c>
      <c r="D6">
        <f t="shared" si="1"/>
        <v>1.1094153210319151</v>
      </c>
      <c r="E6">
        <f t="shared" si="2"/>
        <v>0.10883899515884132</v>
      </c>
      <c r="F6">
        <f t="shared" si="3"/>
        <v>0.19864488536595598</v>
      </c>
      <c r="G6">
        <f t="shared" si="4"/>
        <v>0.54790736221741299</v>
      </c>
    </row>
    <row r="7" spans="1:7" x14ac:dyDescent="0.2">
      <c r="A7">
        <f t="shared" si="0"/>
        <v>0.48432248261890382</v>
      </c>
      <c r="B7">
        <v>140.066577896138</v>
      </c>
      <c r="C7">
        <v>90.371466615940605</v>
      </c>
      <c r="D7">
        <f t="shared" si="1"/>
        <v>1.106543954022331</v>
      </c>
      <c r="E7">
        <f t="shared" si="2"/>
        <v>0.1059676281492572</v>
      </c>
      <c r="F7">
        <f t="shared" si="3"/>
        <v>0.20549204605122426</v>
      </c>
      <c r="G7">
        <f t="shared" si="4"/>
        <v>0.51567751738109613</v>
      </c>
    </row>
    <row r="8" spans="1:7" x14ac:dyDescent="0.2">
      <c r="A8">
        <f t="shared" si="0"/>
        <v>0.50458124223030254</v>
      </c>
      <c r="B8">
        <v>145.925432756324</v>
      </c>
      <c r="C8">
        <v>96.660528818717793</v>
      </c>
      <c r="D8">
        <f t="shared" si="1"/>
        <v>1.0345484472523963</v>
      </c>
      <c r="E8">
        <f t="shared" si="2"/>
        <v>3.3972121379322484E-2</v>
      </c>
      <c r="F8">
        <f t="shared" si="3"/>
        <v>6.8572537568540981E-2</v>
      </c>
      <c r="G8">
        <f t="shared" si="4"/>
        <v>0.49541875776969746</v>
      </c>
    </row>
    <row r="9" spans="1:7" x14ac:dyDescent="0.2">
      <c r="A9">
        <f t="shared" si="0"/>
        <v>0.5193148855840487</v>
      </c>
      <c r="B9">
        <v>150.186418109187</v>
      </c>
      <c r="C9">
        <v>101.805820810348</v>
      </c>
      <c r="D9">
        <f t="shared" si="1"/>
        <v>0.9822621064692163</v>
      </c>
      <c r="E9">
        <f t="shared" si="2"/>
        <v>-1.8314219403857468E-2</v>
      </c>
      <c r="F9">
        <f t="shared" si="3"/>
        <v>-3.8100242455208676E-2</v>
      </c>
      <c r="G9">
        <f t="shared" si="4"/>
        <v>0.4806851144159513</v>
      </c>
    </row>
    <row r="10" spans="1:7" x14ac:dyDescent="0.2">
      <c r="A10">
        <f t="shared" si="0"/>
        <v>0.55430728854919697</v>
      </c>
      <c r="B10">
        <v>160.306258322237</v>
      </c>
      <c r="C10">
        <v>103.41160357618401</v>
      </c>
      <c r="D10">
        <f t="shared" si="1"/>
        <v>0.96700947032824369</v>
      </c>
      <c r="E10">
        <f t="shared" si="2"/>
        <v>-3.3566855544830076E-2</v>
      </c>
      <c r="F10">
        <f t="shared" si="3"/>
        <v>-7.5313898303529456E-2</v>
      </c>
      <c r="G10">
        <f t="shared" si="4"/>
        <v>0.44569271145080303</v>
      </c>
    </row>
    <row r="11" spans="1:7" x14ac:dyDescent="0.2">
      <c r="A11">
        <f t="shared" si="0"/>
        <v>0.59114139693356049</v>
      </c>
      <c r="B11">
        <v>170.95872170439401</v>
      </c>
      <c r="C11">
        <v>101.24626212668799</v>
      </c>
      <c r="D11">
        <f t="shared" si="1"/>
        <v>0.98769078383231013</v>
      </c>
      <c r="E11">
        <f t="shared" si="2"/>
        <v>-1.2885542040763642E-2</v>
      </c>
      <c r="F11">
        <f t="shared" si="3"/>
        <v>-3.1515888241367744E-2</v>
      </c>
      <c r="G11">
        <f t="shared" si="4"/>
        <v>0.40885860306643951</v>
      </c>
    </row>
    <row r="12" spans="1:7" x14ac:dyDescent="0.2">
      <c r="A12">
        <f t="shared" si="0"/>
        <v>0.62429209447948664</v>
      </c>
      <c r="B12">
        <v>180.545938748335</v>
      </c>
      <c r="C12">
        <v>102.280311964999</v>
      </c>
      <c r="D12">
        <f t="shared" si="1"/>
        <v>0.97770526975143235</v>
      </c>
      <c r="E12">
        <f t="shared" si="2"/>
        <v>-2.287105612164142E-2</v>
      </c>
      <c r="F12">
        <f t="shared" si="3"/>
        <v>-6.0874567145334339E-2</v>
      </c>
      <c r="G12">
        <f t="shared" si="4"/>
        <v>0.37570790552051336</v>
      </c>
    </row>
    <row r="13" spans="1:7" x14ac:dyDescent="0.2">
      <c r="A13">
        <f t="shared" si="0"/>
        <v>0.66020535015424076</v>
      </c>
      <c r="B13">
        <v>190.932090545938</v>
      </c>
      <c r="C13">
        <v>101.486246908883</v>
      </c>
      <c r="D13">
        <f t="shared" si="1"/>
        <v>0.98535518896252605</v>
      </c>
      <c r="E13">
        <f t="shared" si="2"/>
        <v>-1.5221136910547717E-2</v>
      </c>
      <c r="F13">
        <f t="shared" si="3"/>
        <v>-4.4795104682951739E-2</v>
      </c>
      <c r="G13">
        <f t="shared" si="4"/>
        <v>0.33979464984575924</v>
      </c>
    </row>
    <row r="14" spans="1:7" x14ac:dyDescent="0.2">
      <c r="A14">
        <f t="shared" si="0"/>
        <v>0.69151434228095177</v>
      </c>
      <c r="B14">
        <v>199.98668442077201</v>
      </c>
      <c r="C14">
        <v>99.891420962526098</v>
      </c>
      <c r="D14">
        <f t="shared" si="1"/>
        <v>1.001086970596951</v>
      </c>
      <c r="E14">
        <f t="shared" si="2"/>
        <v>5.1064472387718496E-4</v>
      </c>
      <c r="F14">
        <f t="shared" si="3"/>
        <v>1.6553272772968008E-3</v>
      </c>
      <c r="G14">
        <f t="shared" si="4"/>
        <v>0.30848565771904823</v>
      </c>
    </row>
    <row r="15" spans="1:7" x14ac:dyDescent="0.2">
      <c r="A15">
        <f t="shared" si="0"/>
        <v>0.72834845066531517</v>
      </c>
      <c r="B15">
        <v>210.63914780292899</v>
      </c>
      <c r="C15">
        <v>102.983222370173</v>
      </c>
      <c r="D15">
        <f t="shared" si="1"/>
        <v>0.97103195742458126</v>
      </c>
      <c r="E15">
        <f t="shared" si="2"/>
        <v>-2.9544368448492508E-2</v>
      </c>
      <c r="F15">
        <f t="shared" si="3"/>
        <v>-0.10875832853098417</v>
      </c>
      <c r="G15">
        <f t="shared" si="4"/>
        <v>0.27165154933468483</v>
      </c>
    </row>
    <row r="16" spans="1:7" x14ac:dyDescent="0.2">
      <c r="A16">
        <f t="shared" si="0"/>
        <v>0.76149914821124143</v>
      </c>
      <c r="B16">
        <v>220.22636484687001</v>
      </c>
      <c r="C16">
        <v>100.931557922769</v>
      </c>
      <c r="D16">
        <f t="shared" si="1"/>
        <v>0.99077039984380499</v>
      </c>
      <c r="E16">
        <f t="shared" si="2"/>
        <v>-9.8059260292687744E-3</v>
      </c>
      <c r="F16">
        <f t="shared" si="3"/>
        <v>-4.1114846994147983E-2</v>
      </c>
      <c r="G16">
        <f t="shared" si="4"/>
        <v>0.23850085178875857</v>
      </c>
    </row>
    <row r="17" spans="1:7" x14ac:dyDescent="0.2">
      <c r="A17">
        <f t="shared" si="0"/>
        <v>0.7964915511763897</v>
      </c>
      <c r="B17">
        <v>230.34620505992001</v>
      </c>
      <c r="C17">
        <v>100.48019783146199</v>
      </c>
      <c r="D17">
        <f t="shared" si="1"/>
        <v>0.99522097048149283</v>
      </c>
      <c r="E17">
        <f t="shared" si="2"/>
        <v>-5.3553553915809404E-3</v>
      </c>
      <c r="F17">
        <f t="shared" si="3"/>
        <v>-2.6315150169625941E-2</v>
      </c>
      <c r="G17">
        <f t="shared" si="4"/>
        <v>0.2035084488236103</v>
      </c>
    </row>
    <row r="18" spans="1:7" x14ac:dyDescent="0.2">
      <c r="A18">
        <f t="shared" si="0"/>
        <v>0.83240480685114382</v>
      </c>
      <c r="B18">
        <v>240.732356857523</v>
      </c>
      <c r="C18">
        <v>101.400418489632</v>
      </c>
      <c r="D18">
        <f t="shared" si="1"/>
        <v>0.98618922376760032</v>
      </c>
      <c r="E18">
        <f t="shared" si="2"/>
        <v>-1.4387102105473448E-2</v>
      </c>
      <c r="F18">
        <f t="shared" si="3"/>
        <v>-8.5844360062850872E-2</v>
      </c>
      <c r="G18">
        <f t="shared" si="4"/>
        <v>0.16759519314885618</v>
      </c>
    </row>
    <row r="19" spans="1:7" x14ac:dyDescent="0.2">
      <c r="A19">
        <f t="shared" si="0"/>
        <v>0.89686449652378086</v>
      </c>
      <c r="B19">
        <v>259.37416777629801</v>
      </c>
      <c r="C19">
        <v>101.639642381586</v>
      </c>
      <c r="D19">
        <f t="shared" si="1"/>
        <v>0.98386808194945941</v>
      </c>
      <c r="E19">
        <f t="shared" si="2"/>
        <v>-1.6708243923614363E-2</v>
      </c>
      <c r="F19">
        <f t="shared" si="3"/>
        <v>-0.16200283472186597</v>
      </c>
      <c r="G19">
        <f t="shared" si="4"/>
        <v>0.10313550347621914</v>
      </c>
    </row>
    <row r="20" spans="1:7" x14ac:dyDescent="0.2">
      <c r="A20">
        <f t="shared" si="0"/>
        <v>0.93830286845619115</v>
      </c>
      <c r="B20">
        <v>271.35818908122502</v>
      </c>
      <c r="C20">
        <v>101.760776108046</v>
      </c>
      <c r="D20">
        <f t="shared" si="1"/>
        <v>0.98269690763584128</v>
      </c>
      <c r="E20">
        <f t="shared" si="2"/>
        <v>-1.7879418237232492E-2</v>
      </c>
      <c r="F20">
        <f t="shared" si="3"/>
        <v>-0.28979334678690821</v>
      </c>
      <c r="G20">
        <f t="shared" si="4"/>
        <v>6.1697131543808847E-2</v>
      </c>
    </row>
    <row r="21" spans="1:7" x14ac:dyDescent="0.2">
      <c r="A21">
        <f t="shared" si="0"/>
        <v>0.9714535660021173</v>
      </c>
      <c r="B21">
        <v>280.94540612516602</v>
      </c>
      <c r="C21">
        <v>101.766254517785</v>
      </c>
      <c r="D21">
        <f t="shared" si="1"/>
        <v>0.98264400585288003</v>
      </c>
      <c r="E21">
        <f t="shared" si="2"/>
        <v>-1.7932320020193737E-2</v>
      </c>
      <c r="F21">
        <f t="shared" si="3"/>
        <v>-0.62818073954609466</v>
      </c>
      <c r="G21">
        <f t="shared" si="4"/>
        <v>2.8546433997882703E-2</v>
      </c>
    </row>
    <row r="22" spans="1:7" x14ac:dyDescent="0.2">
      <c r="A22">
        <f t="shared" si="0"/>
        <v>1</v>
      </c>
      <c r="B22">
        <v>289.20106524633798</v>
      </c>
      <c r="C22">
        <v>99.942400608712106</v>
      </c>
      <c r="D22">
        <f t="shared" si="1"/>
        <v>1.0005763258730738</v>
      </c>
      <c r="E22">
        <f t="shared" si="2"/>
        <v>0</v>
      </c>
      <c r="F22">
        <f t="shared" si="3"/>
        <v>0</v>
      </c>
      <c r="G22">
        <f t="shared" si="4"/>
        <v>0</v>
      </c>
    </row>
  </sheetData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B1051-F995-914C-8EAE-FF988C233AE2}">
  <dimension ref="A1:E19"/>
  <sheetViews>
    <sheetView workbookViewId="0">
      <selection activeCell="C2" sqref="C2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10</v>
      </c>
      <c r="C1" t="s">
        <v>7</v>
      </c>
      <c r="D1" t="s">
        <v>8</v>
      </c>
      <c r="E1" t="s">
        <v>9</v>
      </c>
    </row>
    <row r="2" spans="1:5" x14ac:dyDescent="0.2">
      <c r="A2">
        <v>89.950509289999999</v>
      </c>
      <c r="B2">
        <v>44.195458700000003</v>
      </c>
      <c r="C2">
        <v>3183.3026220000002</v>
      </c>
      <c r="D2">
        <v>15.954778989999999</v>
      </c>
      <c r="E2">
        <v>199.52032080000001</v>
      </c>
    </row>
    <row r="3" spans="1:5" x14ac:dyDescent="0.2">
      <c r="A3">
        <v>100.6070861</v>
      </c>
      <c r="B3">
        <v>53.465026559999998</v>
      </c>
      <c r="C3">
        <v>2223.2353069999999</v>
      </c>
      <c r="D3">
        <v>11.77163631</v>
      </c>
      <c r="E3">
        <v>188.863744</v>
      </c>
    </row>
    <row r="4" spans="1:5" x14ac:dyDescent="0.2">
      <c r="A4">
        <v>110.9870224</v>
      </c>
      <c r="B4">
        <v>61.411119759999998</v>
      </c>
      <c r="C4">
        <v>1537.0401039999999</v>
      </c>
      <c r="D4">
        <v>8.6116501220000004</v>
      </c>
      <c r="E4">
        <v>178.4838077</v>
      </c>
    </row>
    <row r="5" spans="1:5" x14ac:dyDescent="0.2">
      <c r="A5">
        <v>119.6889276</v>
      </c>
      <c r="B5">
        <v>66.589286319999999</v>
      </c>
      <c r="C5">
        <v>1157.832406</v>
      </c>
      <c r="D5">
        <v>6.8195278129999997</v>
      </c>
      <c r="E5">
        <v>169.7819025</v>
      </c>
    </row>
    <row r="6" spans="1:5" x14ac:dyDescent="0.2">
      <c r="A6">
        <v>137.67478259999999</v>
      </c>
      <c r="B6">
        <v>71.412134949999995</v>
      </c>
      <c r="C6">
        <v>852.87874720000002</v>
      </c>
      <c r="D6">
        <v>5.618583364</v>
      </c>
      <c r="E6">
        <v>151.79604749999999</v>
      </c>
    </row>
    <row r="7" spans="1:5" x14ac:dyDescent="0.2">
      <c r="A7">
        <v>156.2164563</v>
      </c>
      <c r="B7">
        <v>78.160129940000004</v>
      </c>
      <c r="C7">
        <v>504.27610650000003</v>
      </c>
      <c r="D7">
        <v>3.7843118549999999</v>
      </c>
      <c r="E7">
        <v>133.2543738</v>
      </c>
    </row>
    <row r="8" spans="1:5" x14ac:dyDescent="0.2">
      <c r="A8">
        <v>170.2595513</v>
      </c>
      <c r="B8">
        <v>84.303915270000005</v>
      </c>
      <c r="C8">
        <v>266.09137700000002</v>
      </c>
      <c r="D8">
        <v>2.2320990059999999</v>
      </c>
      <c r="E8">
        <v>119.2112788</v>
      </c>
    </row>
    <row r="9" spans="1:5" x14ac:dyDescent="0.2">
      <c r="A9">
        <v>180.65090860000001</v>
      </c>
      <c r="B9">
        <v>89.00189503</v>
      </c>
      <c r="C9">
        <v>134.89260949999999</v>
      </c>
      <c r="D9">
        <v>1.239594807</v>
      </c>
      <c r="E9">
        <v>108.81992150000001</v>
      </c>
    </row>
    <row r="10" spans="1:5" x14ac:dyDescent="0.2">
      <c r="A10">
        <v>192.18435919999999</v>
      </c>
      <c r="B10">
        <v>88.888531689999994</v>
      </c>
      <c r="C10">
        <v>137.5387388</v>
      </c>
      <c r="D10">
        <v>1.413749903</v>
      </c>
      <c r="E10">
        <v>97.286470899999998</v>
      </c>
    </row>
    <row r="11" spans="1:5" x14ac:dyDescent="0.2">
      <c r="A11">
        <v>200.3418666</v>
      </c>
      <c r="B11">
        <v>88.893438459999999</v>
      </c>
      <c r="C11">
        <v>137.4236727</v>
      </c>
      <c r="D11">
        <v>1.5418520229999999</v>
      </c>
      <c r="E11">
        <v>89.128963499999998</v>
      </c>
    </row>
    <row r="12" spans="1:5" x14ac:dyDescent="0.2">
      <c r="A12">
        <v>209.88765190000001</v>
      </c>
      <c r="B12">
        <v>94.072112619999999</v>
      </c>
      <c r="C12">
        <v>42.825378049999998</v>
      </c>
      <c r="D12">
        <v>0.538120983</v>
      </c>
      <c r="E12">
        <v>79.583178200000006</v>
      </c>
    </row>
    <row r="13" spans="1:5" x14ac:dyDescent="0.2">
      <c r="A13">
        <v>219.73313089999999</v>
      </c>
      <c r="B13">
        <v>94.017884339999995</v>
      </c>
      <c r="C13">
        <v>43.538070429999998</v>
      </c>
      <c r="D13">
        <v>0.62431182699999999</v>
      </c>
      <c r="E13">
        <v>69.737699199999994</v>
      </c>
    </row>
    <row r="14" spans="1:5" x14ac:dyDescent="0.2">
      <c r="A14">
        <v>230.40176310000001</v>
      </c>
      <c r="B14">
        <v>99.858888019999995</v>
      </c>
      <c r="C14">
        <v>0.57355596900000005</v>
      </c>
      <c r="D14">
        <v>9.7099209999999998E-3</v>
      </c>
      <c r="E14">
        <v>59.069066999999997</v>
      </c>
    </row>
    <row r="15" spans="1:5" x14ac:dyDescent="0.2">
      <c r="A15">
        <v>241.9356367</v>
      </c>
      <c r="B15">
        <v>99.625224189999997</v>
      </c>
      <c r="C15">
        <v>0.98207824499999996</v>
      </c>
      <c r="D15">
        <v>2.0660023999999999E-2</v>
      </c>
      <c r="E15">
        <v>47.535193399999997</v>
      </c>
    </row>
    <row r="16" spans="1:5" x14ac:dyDescent="0.2">
      <c r="A16">
        <v>258.81112309999997</v>
      </c>
      <c r="B16">
        <v>100.2368786</v>
      </c>
      <c r="C16">
        <v>0.14390202199999999</v>
      </c>
      <c r="D16">
        <v>4.6935220000000003E-3</v>
      </c>
      <c r="E16">
        <v>30.659707000000001</v>
      </c>
    </row>
    <row r="17" spans="1:5" x14ac:dyDescent="0.2">
      <c r="A17">
        <v>269.78367909999997</v>
      </c>
      <c r="B17">
        <v>99.64197489</v>
      </c>
      <c r="C17">
        <v>0.94915899000000004</v>
      </c>
      <c r="D17">
        <v>4.8212104999999998E-2</v>
      </c>
      <c r="E17">
        <v>19.687151</v>
      </c>
    </row>
    <row r="18" spans="1:5" x14ac:dyDescent="0.2">
      <c r="A18">
        <v>279.46461199999999</v>
      </c>
      <c r="B18">
        <v>100</v>
      </c>
      <c r="C18">
        <v>0.37973053899999998</v>
      </c>
      <c r="D18">
        <v>3.7949456999999999E-2</v>
      </c>
      <c r="E18">
        <v>10.0062181</v>
      </c>
    </row>
    <row r="19" spans="1:5" x14ac:dyDescent="0.2">
      <c r="A19">
        <v>289.4708301</v>
      </c>
      <c r="B19">
        <v>100.6162228</v>
      </c>
      <c r="C19">
        <v>0</v>
      </c>
      <c r="E19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258CC-0796-9B4C-A063-C58FA61FB692}">
  <dimension ref="A1:E17"/>
  <sheetViews>
    <sheetView workbookViewId="0">
      <selection activeCell="A2" sqref="A2:B17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6</v>
      </c>
      <c r="C1" t="s">
        <v>7</v>
      </c>
      <c r="D1" t="s">
        <v>8</v>
      </c>
      <c r="E1" t="s">
        <v>9</v>
      </c>
    </row>
    <row r="2" spans="1:5" x14ac:dyDescent="0.2">
      <c r="A2">
        <v>89.975889140000007</v>
      </c>
      <c r="B2">
        <v>36.977428850000003</v>
      </c>
      <c r="C2">
        <v>4034.6205049999999</v>
      </c>
      <c r="D2">
        <v>20.195655290000001</v>
      </c>
      <c r="E2">
        <v>199.77665730000001</v>
      </c>
    </row>
    <row r="3" spans="1:5" x14ac:dyDescent="0.2">
      <c r="A3">
        <v>100.3452506</v>
      </c>
      <c r="B3">
        <v>47.931034480000001</v>
      </c>
      <c r="C3">
        <v>2763.0852199999999</v>
      </c>
      <c r="D3">
        <v>14.58806118</v>
      </c>
      <c r="E3">
        <v>189.40729590000001</v>
      </c>
    </row>
    <row r="4" spans="1:5" x14ac:dyDescent="0.2">
      <c r="A4">
        <v>113.8223749</v>
      </c>
      <c r="B4">
        <v>55.036885380000001</v>
      </c>
      <c r="C4">
        <v>2066.5394209999999</v>
      </c>
      <c r="D4">
        <v>11.746361650000001</v>
      </c>
      <c r="E4">
        <v>175.93017159999999</v>
      </c>
    </row>
    <row r="5" spans="1:5" x14ac:dyDescent="0.2">
      <c r="A5">
        <v>120.8415959</v>
      </c>
      <c r="B5">
        <v>58.770430779999998</v>
      </c>
      <c r="C5">
        <v>1741.030763</v>
      </c>
      <c r="D5">
        <v>10.307388339999999</v>
      </c>
      <c r="E5">
        <v>168.91095060000001</v>
      </c>
    </row>
    <row r="6" spans="1:5" x14ac:dyDescent="0.2">
      <c r="A6">
        <v>142.47030559999999</v>
      </c>
      <c r="B6">
        <v>67.565395420000002</v>
      </c>
      <c r="C6">
        <v>1084.4307449999999</v>
      </c>
      <c r="D6">
        <v>7.3629430009999997</v>
      </c>
      <c r="E6">
        <v>147.28224090000001</v>
      </c>
    </row>
    <row r="7" spans="1:5" x14ac:dyDescent="0.2">
      <c r="A7">
        <v>164.09901529999999</v>
      </c>
      <c r="B7">
        <v>76.360360060000005</v>
      </c>
      <c r="C7">
        <v>582.53353249999998</v>
      </c>
      <c r="D7">
        <v>4.6360299390000002</v>
      </c>
      <c r="E7">
        <v>125.6535312</v>
      </c>
    </row>
    <row r="8" spans="1:5" x14ac:dyDescent="0.2">
      <c r="A8">
        <v>179.55153799999999</v>
      </c>
      <c r="B8">
        <v>81.662887889999993</v>
      </c>
      <c r="C8">
        <v>354.68955840000001</v>
      </c>
      <c r="D8">
        <v>3.2185690810000001</v>
      </c>
      <c r="E8">
        <v>110.20100840000001</v>
      </c>
    </row>
    <row r="9" spans="1:5" x14ac:dyDescent="0.2">
      <c r="A9">
        <v>200.91502829999999</v>
      </c>
      <c r="B9">
        <v>85.886264420000003</v>
      </c>
      <c r="C9">
        <v>213.44704730000001</v>
      </c>
      <c r="D9">
        <v>2.4026678320000001</v>
      </c>
      <c r="E9">
        <v>88.837518189999997</v>
      </c>
    </row>
    <row r="10" spans="1:5" x14ac:dyDescent="0.2">
      <c r="A10">
        <v>210.18544209999999</v>
      </c>
      <c r="B10">
        <v>89.380562420000004</v>
      </c>
      <c r="C10">
        <v>123.55498679999999</v>
      </c>
      <c r="D10">
        <v>1.5528400570000001</v>
      </c>
      <c r="E10">
        <v>79.567104330000006</v>
      </c>
    </row>
    <row r="11" spans="1:5" x14ac:dyDescent="0.2">
      <c r="A11">
        <v>220.5886434</v>
      </c>
      <c r="B11">
        <v>90.710128249999997</v>
      </c>
      <c r="C11">
        <v>95.765076730000004</v>
      </c>
      <c r="D11">
        <v>1.3846106490000001</v>
      </c>
      <c r="E11">
        <v>69.163903079999997</v>
      </c>
    </row>
    <row r="12" spans="1:5" x14ac:dyDescent="0.2">
      <c r="A12">
        <v>230.14373459999999</v>
      </c>
      <c r="B12">
        <v>93.242191469999995</v>
      </c>
      <c r="C12">
        <v>52.619065749999997</v>
      </c>
      <c r="D12">
        <v>0.88273971699999998</v>
      </c>
      <c r="E12">
        <v>59.608811879999998</v>
      </c>
    </row>
    <row r="13" spans="1:5" x14ac:dyDescent="0.2">
      <c r="A13">
        <v>239.70855470000001</v>
      </c>
      <c r="B13">
        <v>93.007343239999997</v>
      </c>
      <c r="C13">
        <v>56.08135059</v>
      </c>
      <c r="D13">
        <v>1.1206410330000001</v>
      </c>
      <c r="E13">
        <v>50.043991740000003</v>
      </c>
    </row>
    <row r="14" spans="1:5" x14ac:dyDescent="0.2">
      <c r="A14">
        <v>252.6370512</v>
      </c>
      <c r="B14">
        <v>96.142939330000004</v>
      </c>
      <c r="C14">
        <v>18.94993388</v>
      </c>
      <c r="D14">
        <v>0.51056664500000004</v>
      </c>
      <c r="E14">
        <v>37.115495250000002</v>
      </c>
    </row>
    <row r="15" spans="1:5" x14ac:dyDescent="0.2">
      <c r="A15">
        <v>269.78790900000001</v>
      </c>
      <c r="B15">
        <v>98.438969920000005</v>
      </c>
      <c r="C15">
        <v>4.2317492210000003</v>
      </c>
      <c r="D15">
        <v>0.211962238</v>
      </c>
      <c r="E15">
        <v>19.964637410000002</v>
      </c>
    </row>
    <row r="16" spans="1:5" x14ac:dyDescent="0.2">
      <c r="A16">
        <v>280.47747959999998</v>
      </c>
      <c r="B16">
        <v>98.325098980000007</v>
      </c>
      <c r="C16">
        <v>4.713208528</v>
      </c>
      <c r="D16">
        <v>0.50815898299999995</v>
      </c>
      <c r="E16">
        <v>9.2750668340000004</v>
      </c>
    </row>
    <row r="17" spans="1:5" x14ac:dyDescent="0.2">
      <c r="A17">
        <v>289.75254640000003</v>
      </c>
      <c r="B17">
        <v>100.49609150000001</v>
      </c>
      <c r="C17">
        <v>0</v>
      </c>
      <c r="E17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62D93-16FF-6A4F-83BF-87D1C92809BA}">
  <dimension ref="A1:B18"/>
  <sheetViews>
    <sheetView workbookViewId="0"/>
  </sheetViews>
  <sheetFormatPr baseColWidth="10" defaultColWidth="11" defaultRowHeight="16" x14ac:dyDescent="0.2"/>
  <sheetData>
    <row r="1" spans="1:2" x14ac:dyDescent="0.2">
      <c r="A1">
        <v>90.438801725346494</v>
      </c>
      <c r="B1">
        <v>84.5605701145072</v>
      </c>
    </row>
    <row r="2" spans="1:2" x14ac:dyDescent="0.2">
      <c r="A2">
        <v>98.545162893760804</v>
      </c>
      <c r="B2">
        <v>88.349632116644699</v>
      </c>
    </row>
    <row r="3" spans="1:2" x14ac:dyDescent="0.2">
      <c r="A3">
        <v>110.580347144966</v>
      </c>
      <c r="B3">
        <v>95.930086686100097</v>
      </c>
    </row>
    <row r="4" spans="1:2" x14ac:dyDescent="0.2">
      <c r="A4">
        <v>120.761639625434</v>
      </c>
      <c r="B4">
        <v>95.478102701452698</v>
      </c>
    </row>
    <row r="5" spans="1:2" x14ac:dyDescent="0.2">
      <c r="A5">
        <v>130.17530219965201</v>
      </c>
      <c r="B5">
        <v>99.824315441997101</v>
      </c>
    </row>
    <row r="6" spans="1:2" x14ac:dyDescent="0.2">
      <c r="A6">
        <v>140.62206062018501</v>
      </c>
      <c r="B6">
        <v>100.711095493087</v>
      </c>
    </row>
    <row r="7" spans="1:2" x14ac:dyDescent="0.2">
      <c r="A7">
        <v>150.80007574336801</v>
      </c>
      <c r="B7">
        <v>99.254929236393906</v>
      </c>
    </row>
    <row r="8" spans="1:2" x14ac:dyDescent="0.2">
      <c r="A8">
        <v>160.471192939844</v>
      </c>
      <c r="B8">
        <v>102.48523823656301</v>
      </c>
    </row>
    <row r="9" spans="1:2" x14ac:dyDescent="0.2">
      <c r="A9">
        <v>170.65649107921499</v>
      </c>
      <c r="B9">
        <v>103.260588139972</v>
      </c>
    </row>
    <row r="10" spans="1:2" x14ac:dyDescent="0.2">
      <c r="A10">
        <v>182.40290373855399</v>
      </c>
      <c r="B10">
        <v>102.361426961361</v>
      </c>
    </row>
    <row r="11" spans="1:2" x14ac:dyDescent="0.2">
      <c r="A11">
        <v>200.41453107389799</v>
      </c>
      <c r="B11">
        <v>101.124042510965</v>
      </c>
    </row>
    <row r="12" spans="1:2" x14ac:dyDescent="0.2">
      <c r="A12">
        <v>211.12384222802001</v>
      </c>
      <c r="B12">
        <v>102.456980133752</v>
      </c>
    </row>
    <row r="13" spans="1:2" x14ac:dyDescent="0.2">
      <c r="A13">
        <v>230.43694455621801</v>
      </c>
      <c r="B13">
        <v>99.991533493681004</v>
      </c>
    </row>
    <row r="14" spans="1:2" x14ac:dyDescent="0.2">
      <c r="A14">
        <v>240.88843693727301</v>
      </c>
      <c r="B14">
        <v>102.32879904883799</v>
      </c>
    </row>
    <row r="15" spans="1:2" x14ac:dyDescent="0.2">
      <c r="A15">
        <v>250.81118234305501</v>
      </c>
      <c r="B15">
        <v>102.65799138055</v>
      </c>
    </row>
    <row r="16" spans="1:2" x14ac:dyDescent="0.2">
      <c r="A16">
        <v>262.298683776899</v>
      </c>
      <c r="B16">
        <v>102.42843071029399</v>
      </c>
    </row>
    <row r="17" spans="1:2" x14ac:dyDescent="0.2">
      <c r="A17">
        <v>278.48300235059298</v>
      </c>
      <c r="B17">
        <v>101.303641690169</v>
      </c>
    </row>
    <row r="18" spans="1:2" x14ac:dyDescent="0.2">
      <c r="A18">
        <v>289.70649444761</v>
      </c>
      <c r="B18">
        <v>100.18162021619599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D0987-65F8-5440-830D-42041B7FD317}">
  <dimension ref="A1:B14"/>
  <sheetViews>
    <sheetView workbookViewId="0"/>
  </sheetViews>
  <sheetFormatPr baseColWidth="10" defaultColWidth="11" defaultRowHeight="16" x14ac:dyDescent="0.2"/>
  <sheetData>
    <row r="1" spans="1:2" x14ac:dyDescent="0.2">
      <c r="A1">
        <v>90.454824360960799</v>
      </c>
      <c r="B1">
        <v>89.469905666732799</v>
      </c>
    </row>
    <row r="2" spans="1:2" x14ac:dyDescent="0.2">
      <c r="A2">
        <v>100.93253560029299</v>
      </c>
      <c r="B2">
        <v>99.840629398258997</v>
      </c>
    </row>
    <row r="3" spans="1:2" x14ac:dyDescent="0.2">
      <c r="A3">
        <v>112.159669205404</v>
      </c>
      <c r="B3">
        <v>99.834366004336999</v>
      </c>
    </row>
    <row r="4" spans="1:2" x14ac:dyDescent="0.2">
      <c r="A4">
        <v>137.74599752741599</v>
      </c>
      <c r="B4">
        <v>99.485363868592501</v>
      </c>
    </row>
    <row r="5" spans="1:2" x14ac:dyDescent="0.2">
      <c r="A5">
        <v>160.98391727950201</v>
      </c>
      <c r="B5">
        <v>99.583975907782403</v>
      </c>
    </row>
    <row r="6" spans="1:2" x14ac:dyDescent="0.2">
      <c r="A6">
        <v>170.91212494742501</v>
      </c>
      <c r="B6">
        <v>101.586805359571</v>
      </c>
    </row>
    <row r="7" spans="1:2" x14ac:dyDescent="0.2">
      <c r="A7">
        <v>181.08904761817999</v>
      </c>
      <c r="B7">
        <v>99.795911678862595</v>
      </c>
    </row>
    <row r="8" spans="1:2" x14ac:dyDescent="0.2">
      <c r="A8">
        <v>200.67125739453701</v>
      </c>
      <c r="B8">
        <v>99.784987154580193</v>
      </c>
    </row>
    <row r="9" spans="1:2" x14ac:dyDescent="0.2">
      <c r="A9">
        <v>210.32125384406601</v>
      </c>
      <c r="B9">
        <v>96.543899290452103</v>
      </c>
    </row>
    <row r="10" spans="1:2" x14ac:dyDescent="0.2">
      <c r="A10">
        <v>221.299308295537</v>
      </c>
      <c r="B10">
        <v>100.21978322102299</v>
      </c>
    </row>
    <row r="11" spans="1:2" x14ac:dyDescent="0.2">
      <c r="A11">
        <v>244.79577512230901</v>
      </c>
      <c r="B11">
        <v>99.537218943853404</v>
      </c>
    </row>
    <row r="12" spans="1:2" x14ac:dyDescent="0.2">
      <c r="A12">
        <v>261.24592378687697</v>
      </c>
      <c r="B12">
        <v>99.862769767471505</v>
      </c>
    </row>
    <row r="13" spans="1:2" x14ac:dyDescent="0.2">
      <c r="A13">
        <v>280.30557715172102</v>
      </c>
      <c r="B13">
        <v>99.740560755831396</v>
      </c>
    </row>
    <row r="14" spans="1:2" x14ac:dyDescent="0.2">
      <c r="A14">
        <v>289.96686227634302</v>
      </c>
      <c r="B14">
        <v>99.958322939862299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C1098-3140-1445-8A34-58E60970723E}">
  <dimension ref="A1:B16"/>
  <sheetViews>
    <sheetView workbookViewId="0"/>
  </sheetViews>
  <sheetFormatPr baseColWidth="10" defaultColWidth="11" defaultRowHeight="16" x14ac:dyDescent="0.2"/>
  <sheetData>
    <row r="1" spans="1:2" x14ac:dyDescent="0.2">
      <c r="A1">
        <v>90.455552662579606</v>
      </c>
      <c r="B1">
        <v>89.693057282742998</v>
      </c>
    </row>
    <row r="2" spans="1:2" x14ac:dyDescent="0.2">
      <c r="A2">
        <v>100.673624374798</v>
      </c>
      <c r="B2">
        <v>100.51022990661301</v>
      </c>
    </row>
    <row r="3" spans="1:2" x14ac:dyDescent="0.2">
      <c r="A3">
        <v>111.11965449371201</v>
      </c>
      <c r="B3">
        <v>101.17385834169301</v>
      </c>
    </row>
    <row r="4" spans="1:2" x14ac:dyDescent="0.2">
      <c r="A4">
        <v>120.515473678269</v>
      </c>
      <c r="B4">
        <v>100.052856489986</v>
      </c>
    </row>
    <row r="5" spans="1:2" x14ac:dyDescent="0.2">
      <c r="A5">
        <v>131.22259992753399</v>
      </c>
      <c r="B5">
        <v>100.716339264743</v>
      </c>
    </row>
    <row r="6" spans="1:2" x14ac:dyDescent="0.2">
      <c r="A6">
        <v>139.83513072103599</v>
      </c>
      <c r="B6">
        <v>99.595774394007506</v>
      </c>
    </row>
    <row r="7" spans="1:2" x14ac:dyDescent="0.2">
      <c r="A7">
        <v>160.20572699977899</v>
      </c>
      <c r="B7">
        <v>101.146474200825</v>
      </c>
    </row>
    <row r="8" spans="1:2" x14ac:dyDescent="0.2">
      <c r="A8">
        <v>170.906662685284</v>
      </c>
      <c r="B8">
        <v>99.913168239494695</v>
      </c>
    </row>
    <row r="9" spans="1:2" x14ac:dyDescent="0.2">
      <c r="A9">
        <v>182.13525289363301</v>
      </c>
      <c r="B9">
        <v>100.353208077593</v>
      </c>
    </row>
    <row r="10" spans="1:2" x14ac:dyDescent="0.2">
      <c r="A10">
        <v>182.13525289363301</v>
      </c>
      <c r="B10">
        <v>100.353208077593</v>
      </c>
    </row>
    <row r="11" spans="1:2" x14ac:dyDescent="0.2">
      <c r="A11">
        <v>203.54367897921199</v>
      </c>
      <c r="B11">
        <v>99.894960699023898</v>
      </c>
    </row>
    <row r="12" spans="1:2" x14ac:dyDescent="0.2">
      <c r="A12">
        <v>223.908812995814</v>
      </c>
      <c r="B12">
        <v>99.772023385764896</v>
      </c>
    </row>
    <row r="13" spans="1:2" x14ac:dyDescent="0.2">
      <c r="A13">
        <v>250.01879018176501</v>
      </c>
      <c r="B13">
        <v>99.869033161393403</v>
      </c>
    </row>
    <row r="14" spans="1:2" x14ac:dyDescent="0.2">
      <c r="A14">
        <v>262.55286104187098</v>
      </c>
      <c r="B14">
        <v>100.308344697873</v>
      </c>
    </row>
    <row r="15" spans="1:2" x14ac:dyDescent="0.2">
      <c r="A15">
        <v>279.00337385724902</v>
      </c>
      <c r="B15">
        <v>100.745471329496</v>
      </c>
    </row>
    <row r="16" spans="1:2" x14ac:dyDescent="0.2">
      <c r="A16">
        <v>289.96686227634302</v>
      </c>
      <c r="B16">
        <v>99.958322939862299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minimd_rank2</vt:lpstr>
      <vt:lpstr>minimd_rank4</vt:lpstr>
      <vt:lpstr>comd_rank2</vt:lpstr>
      <vt:lpstr>comd_rank4</vt:lpstr>
      <vt:lpstr>xsbench_rank2</vt:lpstr>
      <vt:lpstr>xsbench_rank4</vt:lpstr>
      <vt:lpstr>hpccg_rank2</vt:lpstr>
      <vt:lpstr>hpccg_rank4</vt:lpstr>
      <vt:lpstr>minife</vt:lpstr>
      <vt:lpstr>swfft</vt:lpstr>
      <vt:lpstr>simple_moc</vt:lpstr>
      <vt:lpstr>rsbench</vt:lpstr>
      <vt:lpstr>aspa</vt:lpstr>
      <vt:lpstr>cohmm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Bin Rahim, Imtiaz</cp:lastModifiedBy>
  <cp:revision/>
  <dcterms:created xsi:type="dcterms:W3CDTF">2021-07-13T15:36:02Z</dcterms:created>
  <dcterms:modified xsi:type="dcterms:W3CDTF">2026-03-25T09:21:47Z</dcterms:modified>
  <cp:category/>
  <cp:contentStatus/>
</cp:coreProperties>
</file>