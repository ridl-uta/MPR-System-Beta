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tiazevan/Desktop/Projects/temp/MPR_System_Beta/job_scheduler/data/"/>
    </mc:Choice>
  </mc:AlternateContent>
  <xr:revisionPtr revIDLastSave="0" documentId="13_ncr:1_{F342CEA1-3B50-994B-8FFE-351B0B4B1026}" xr6:coauthVersionLast="47" xr6:coauthVersionMax="47" xr10:uidLastSave="{00000000-0000-0000-0000-000000000000}"/>
  <bookViews>
    <workbookView xWindow="3400" yWindow="500" windowWidth="28800" windowHeight="16300" activeTab="3" xr2:uid="{15444B7F-6FA5-5E4D-9AAE-4CEB8B7D2F02}"/>
  </bookViews>
  <sheets>
    <sheet name="comd" sheetId="16" r:id="rId1"/>
    <sheet name="xsbench" sheetId="15" r:id="rId2"/>
    <sheet name="minimd" sheetId="14" r:id="rId3"/>
    <sheet name="hpccg" sheetId="13" r:id="rId4"/>
    <sheet name="minife" sheetId="6" r:id="rId5"/>
    <sheet name="swfft" sheetId="5" r:id="rId6"/>
    <sheet name="simple_moc" sheetId="4" r:id="rId7"/>
    <sheet name="rsbench" sheetId="9" r:id="rId8"/>
    <sheet name="aspa" sheetId="10" r:id="rId9"/>
    <sheet name="cohmm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3" l="1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E4" i="13" s="1"/>
  <c r="D16" i="16"/>
  <c r="A16" i="16"/>
  <c r="G16" i="16" s="1"/>
  <c r="D15" i="16"/>
  <c r="A15" i="16"/>
  <c r="G15" i="16" s="1"/>
  <c r="D14" i="16"/>
  <c r="E14" i="16" s="1"/>
  <c r="A14" i="16"/>
  <c r="D13" i="16"/>
  <c r="A13" i="16"/>
  <c r="D12" i="16"/>
  <c r="E12" i="16" s="1"/>
  <c r="A12" i="16"/>
  <c r="D11" i="16"/>
  <c r="E11" i="16" s="1"/>
  <c r="A11" i="16"/>
  <c r="D10" i="16"/>
  <c r="E10" i="16" s="1"/>
  <c r="A10" i="16"/>
  <c r="E9" i="16"/>
  <c r="D9" i="16"/>
  <c r="A9" i="16"/>
  <c r="D8" i="16"/>
  <c r="E8" i="16" s="1"/>
  <c r="A8" i="16"/>
  <c r="D7" i="16"/>
  <c r="A7" i="16"/>
  <c r="G7" i="16" s="1"/>
  <c r="D6" i="16"/>
  <c r="E6" i="16" s="1"/>
  <c r="A6" i="16"/>
  <c r="D5" i="16"/>
  <c r="A5" i="16"/>
  <c r="D4" i="16"/>
  <c r="E4" i="16" s="1"/>
  <c r="A4" i="16"/>
  <c r="G4" i="16" s="1"/>
  <c r="D3" i="16"/>
  <c r="E3" i="16" s="1"/>
  <c r="A3" i="16"/>
  <c r="D2" i="16"/>
  <c r="E2" i="16" s="1"/>
  <c r="A2" i="16"/>
  <c r="D16" i="15"/>
  <c r="A16" i="15"/>
  <c r="G16" i="15" s="1"/>
  <c r="D15" i="15"/>
  <c r="E15" i="15" s="1"/>
  <c r="A15" i="15"/>
  <c r="G15" i="15" s="1"/>
  <c r="D14" i="15"/>
  <c r="E14" i="15" s="1"/>
  <c r="A14" i="15"/>
  <c r="D13" i="15"/>
  <c r="E13" i="15" s="1"/>
  <c r="A13" i="15"/>
  <c r="G13" i="15" s="1"/>
  <c r="D12" i="15"/>
  <c r="E12" i="15" s="1"/>
  <c r="A12" i="15"/>
  <c r="D11" i="15"/>
  <c r="E11" i="15" s="1"/>
  <c r="A11" i="15"/>
  <c r="G10" i="15"/>
  <c r="D10" i="15"/>
  <c r="A10" i="15"/>
  <c r="D9" i="15"/>
  <c r="E9" i="15" s="1"/>
  <c r="A9" i="15"/>
  <c r="D8" i="15"/>
  <c r="E8" i="15" s="1"/>
  <c r="A8" i="15"/>
  <c r="G7" i="15"/>
  <c r="E7" i="15"/>
  <c r="F7" i="15" s="1"/>
  <c r="D7" i="15"/>
  <c r="A7" i="15"/>
  <c r="D6" i="15"/>
  <c r="E6" i="15" s="1"/>
  <c r="A6" i="15"/>
  <c r="D5" i="15"/>
  <c r="E5" i="15" s="1"/>
  <c r="A5" i="15"/>
  <c r="G5" i="15" s="1"/>
  <c r="D4" i="15"/>
  <c r="E4" i="15" s="1"/>
  <c r="A4" i="15"/>
  <c r="D3" i="15"/>
  <c r="E3" i="15" s="1"/>
  <c r="A3" i="15"/>
  <c r="D2" i="15"/>
  <c r="A2" i="15"/>
  <c r="G2" i="15" s="1"/>
  <c r="D16" i="14"/>
  <c r="E16" i="14" s="1"/>
  <c r="A16" i="14"/>
  <c r="G16" i="14" s="1"/>
  <c r="G15" i="14"/>
  <c r="D15" i="14"/>
  <c r="E15" i="14" s="1"/>
  <c r="F15" i="14" s="1"/>
  <c r="A15" i="14"/>
  <c r="D14" i="14"/>
  <c r="E14" i="14" s="1"/>
  <c r="A14" i="14"/>
  <c r="D13" i="14"/>
  <c r="E13" i="14" s="1"/>
  <c r="A13" i="14"/>
  <c r="G12" i="14"/>
  <c r="E12" i="14"/>
  <c r="F12" i="14" s="1"/>
  <c r="D12" i="14"/>
  <c r="A12" i="14"/>
  <c r="D11" i="14"/>
  <c r="E11" i="14" s="1"/>
  <c r="A11" i="14"/>
  <c r="G10" i="14"/>
  <c r="D10" i="14"/>
  <c r="E10" i="14" s="1"/>
  <c r="F10" i="14" s="1"/>
  <c r="A10" i="14"/>
  <c r="D9" i="14"/>
  <c r="E9" i="14" s="1"/>
  <c r="A9" i="14"/>
  <c r="D8" i="14"/>
  <c r="E8" i="14" s="1"/>
  <c r="A8" i="14"/>
  <c r="G7" i="14"/>
  <c r="F7" i="14" s="1"/>
  <c r="E7" i="14"/>
  <c r="D7" i="14"/>
  <c r="A7" i="14"/>
  <c r="D6" i="14"/>
  <c r="E6" i="14" s="1"/>
  <c r="A6" i="14"/>
  <c r="G5" i="14"/>
  <c r="D5" i="14"/>
  <c r="E5" i="14" s="1"/>
  <c r="F5" i="14" s="1"/>
  <c r="A5" i="14"/>
  <c r="G4" i="14"/>
  <c r="E4" i="14"/>
  <c r="F4" i="14" s="1"/>
  <c r="D4" i="14"/>
  <c r="A4" i="14"/>
  <c r="D3" i="14"/>
  <c r="E3" i="14" s="1"/>
  <c r="A3" i="14"/>
  <c r="G2" i="14"/>
  <c r="D2" i="14"/>
  <c r="E2" i="14" s="1"/>
  <c r="F2" i="14" s="1"/>
  <c r="A2" i="14"/>
  <c r="D2" i="13"/>
  <c r="G16" i="13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" i="6"/>
  <c r="E10" i="13" l="1"/>
  <c r="E8" i="13"/>
  <c r="E15" i="13"/>
  <c r="E6" i="13"/>
  <c r="E7" i="13"/>
  <c r="E14" i="13"/>
  <c r="E16" i="13"/>
  <c r="F16" i="13" s="1"/>
  <c r="E11" i="13"/>
  <c r="E3" i="13"/>
  <c r="E2" i="13"/>
  <c r="E9" i="13"/>
  <c r="E13" i="13"/>
  <c r="E5" i="13"/>
  <c r="E12" i="13"/>
  <c r="G7" i="13"/>
  <c r="G15" i="13"/>
  <c r="G14" i="13"/>
  <c r="G6" i="13"/>
  <c r="G2" i="13"/>
  <c r="G3" i="13"/>
  <c r="F3" i="13" s="1"/>
  <c r="G10" i="13"/>
  <c r="F10" i="13" s="1"/>
  <c r="G9" i="13"/>
  <c r="G8" i="13"/>
  <c r="F7" i="13"/>
  <c r="G13" i="13"/>
  <c r="G5" i="13"/>
  <c r="G12" i="13"/>
  <c r="G4" i="13"/>
  <c r="G11" i="13"/>
  <c r="F4" i="16"/>
  <c r="E13" i="16"/>
  <c r="F3" i="16"/>
  <c r="F10" i="16"/>
  <c r="G12" i="16"/>
  <c r="F12" i="16" s="1"/>
  <c r="G5" i="16"/>
  <c r="E7" i="16"/>
  <c r="F7" i="16" s="1"/>
  <c r="G13" i="16"/>
  <c r="F13" i="16" s="1"/>
  <c r="E15" i="16"/>
  <c r="F15" i="16" s="1"/>
  <c r="G2" i="16"/>
  <c r="F2" i="16" s="1"/>
  <c r="G10" i="16"/>
  <c r="G6" i="16"/>
  <c r="F6" i="16" s="1"/>
  <c r="G14" i="16"/>
  <c r="F14" i="16" s="1"/>
  <c r="E16" i="16"/>
  <c r="F16" i="16" s="1"/>
  <c r="G3" i="16"/>
  <c r="E5" i="16"/>
  <c r="G11" i="16"/>
  <c r="F11" i="16" s="1"/>
  <c r="G9" i="16"/>
  <c r="F9" i="16" s="1"/>
  <c r="G8" i="16"/>
  <c r="F8" i="16" s="1"/>
  <c r="F15" i="15"/>
  <c r="F13" i="15"/>
  <c r="F5" i="15"/>
  <c r="E10" i="15"/>
  <c r="F10" i="15" s="1"/>
  <c r="F4" i="15"/>
  <c r="F6" i="15"/>
  <c r="F3" i="15"/>
  <c r="F8" i="15"/>
  <c r="G4" i="15"/>
  <c r="G6" i="15"/>
  <c r="G14" i="15"/>
  <c r="F14" i="15" s="1"/>
  <c r="E16" i="15"/>
  <c r="F16" i="15" s="1"/>
  <c r="G12" i="15"/>
  <c r="F12" i="15" s="1"/>
  <c r="G3" i="15"/>
  <c r="G11" i="15"/>
  <c r="F11" i="15" s="1"/>
  <c r="G9" i="15"/>
  <c r="F9" i="15" s="1"/>
  <c r="E2" i="15"/>
  <c r="F2" i="15" s="1"/>
  <c r="G8" i="15"/>
  <c r="F3" i="14"/>
  <c r="F9" i="14"/>
  <c r="F16" i="14"/>
  <c r="G13" i="14"/>
  <c r="F13" i="14" s="1"/>
  <c r="G14" i="14"/>
  <c r="F14" i="14" s="1"/>
  <c r="G9" i="14"/>
  <c r="G6" i="14"/>
  <c r="F6" i="14" s="1"/>
  <c r="G3" i="14"/>
  <c r="G11" i="14"/>
  <c r="F11" i="14" s="1"/>
  <c r="G8" i="14"/>
  <c r="F8" i="14" s="1"/>
  <c r="F6" i="13" l="1"/>
  <c r="F9" i="13"/>
  <c r="F11" i="13"/>
  <c r="F8" i="13"/>
  <c r="F15" i="13"/>
  <c r="F2" i="13"/>
  <c r="F5" i="13"/>
  <c r="F13" i="13"/>
  <c r="F12" i="13"/>
  <c r="F14" i="13"/>
  <c r="F4" i="13"/>
  <c r="F5" i="16"/>
</calcChain>
</file>

<file path=xl/sharedStrings.xml><?xml version="1.0" encoding="utf-8"?>
<sst xmlns="http://schemas.openxmlformats.org/spreadsheetml/2006/main" count="49" uniqueCount="12">
  <si>
    <t>Resource</t>
  </si>
  <si>
    <t>Power</t>
  </si>
  <si>
    <t>Execution Time</t>
  </si>
  <si>
    <t>Extra Execution</t>
  </si>
  <si>
    <t>Unit Cost</t>
  </si>
  <si>
    <t>Resource Reduction</t>
  </si>
  <si>
    <t>Performance</t>
  </si>
  <si>
    <t>Cost</t>
  </si>
  <si>
    <t>cost/dp</t>
  </si>
  <si>
    <t>dp</t>
  </si>
  <si>
    <t>Performacne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</si>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</sst>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1B99-65CB-5A45-8353-52F368260BAD}">
  <dimension ref="A1:H16"/>
  <sheetViews>
    <sheetView workbookViewId="0">
      <selection activeCell="C23" sqref="C23"/>
    </sheetView>
  </sheetViews>
  <sheetFormatPr baseColWidth="10" defaultColWidth="11" defaultRowHeight="16" x14ac:dyDescent="0.2"/>
  <cols>
    <col min="2" max="2" width="14.6640625" customWidth="1"/>
    <col min="3" max="3" width="16" customWidth="1"/>
    <col min="4" max="4" width="16.5" customWidth="1"/>
    <col min="5" max="5" width="14.1640625" customWidth="1"/>
    <col min="6" max="6" width="12.1640625" customWidth="1"/>
    <col min="7" max="7" width="17.83203125" customWidth="1"/>
  </cols>
  <sheetData>
    <row r="1" spans="1:8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  <c r="H1" t="s">
        <v>11</v>
      </c>
    </row>
    <row r="2" spans="1:8" x14ac:dyDescent="0.2">
      <c r="A2">
        <f t="shared" ref="A2:A15" si="0">B2/$B$16</f>
        <v>0.52916470421731487</v>
      </c>
      <c r="B2">
        <v>63.121428569999999</v>
      </c>
      <c r="C2">
        <v>44.186563579999998</v>
      </c>
      <c r="D2">
        <f t="shared" ref="D2:D15" si="1">1/C2*100</f>
        <v>2.263131411406309</v>
      </c>
      <c r="E2">
        <f t="shared" ref="E2:E15" si="2">D2-$D$16</f>
        <v>1.263131411406309</v>
      </c>
      <c r="F2">
        <f>IFERROR(E2/G2,0)</f>
        <v>2.6827457982022436</v>
      </c>
      <c r="G2">
        <f>$A$16-A2</f>
        <v>0.47083529578268513</v>
      </c>
      <c r="H2">
        <v>1000</v>
      </c>
    </row>
    <row r="3" spans="1:8" x14ac:dyDescent="0.2">
      <c r="A3">
        <f t="shared" si="0"/>
        <v>0.54781122177644415</v>
      </c>
      <c r="B3">
        <v>65.345679009999998</v>
      </c>
      <c r="C3">
        <v>48.697436760000002</v>
      </c>
      <c r="D3">
        <f t="shared" si="1"/>
        <v>2.0534961725570704</v>
      </c>
      <c r="E3">
        <f t="shared" si="2"/>
        <v>1.0534961725570704</v>
      </c>
      <c r="F3">
        <f t="shared" ref="F3:F16" si="3">IFERROR(E3/G3,0)</f>
        <v>2.3297707136735633</v>
      </c>
      <c r="G3">
        <f t="shared" ref="G3:G16" si="4">$A$16-A3</f>
        <v>0.45218877822355585</v>
      </c>
      <c r="H3">
        <v>1100</v>
      </c>
    </row>
    <row r="4" spans="1:8" x14ac:dyDescent="0.2">
      <c r="A4">
        <f t="shared" si="0"/>
        <v>0.58048635512037483</v>
      </c>
      <c r="B4">
        <v>69.243333329999999</v>
      </c>
      <c r="C4">
        <v>52.810022529999998</v>
      </c>
      <c r="D4">
        <f t="shared" si="1"/>
        <v>1.893579953373294</v>
      </c>
      <c r="E4">
        <f t="shared" si="2"/>
        <v>0.89357995337329399</v>
      </c>
      <c r="F4">
        <f t="shared" si="3"/>
        <v>2.1300378766695345</v>
      </c>
      <c r="G4">
        <f t="shared" si="4"/>
        <v>0.41951364487962517</v>
      </c>
      <c r="H4">
        <v>1200</v>
      </c>
    </row>
    <row r="5" spans="1:8" x14ac:dyDescent="0.2">
      <c r="A5">
        <f t="shared" si="0"/>
        <v>0.60458743198323062</v>
      </c>
      <c r="B5">
        <v>72.118231050000006</v>
      </c>
      <c r="C5">
        <v>56.877634360000002</v>
      </c>
      <c r="D5">
        <f t="shared" si="1"/>
        <v>1.7581603230377389</v>
      </c>
      <c r="E5">
        <f t="shared" si="2"/>
        <v>0.75816032303773895</v>
      </c>
      <c r="F5">
        <f t="shared" si="3"/>
        <v>1.9173905544792533</v>
      </c>
      <c r="G5">
        <f t="shared" si="4"/>
        <v>0.39541256801676938</v>
      </c>
      <c r="H5">
        <v>1300</v>
      </c>
    </row>
    <row r="6" spans="1:8" x14ac:dyDescent="0.2">
      <c r="A6">
        <f t="shared" si="0"/>
        <v>0.64312097437861437</v>
      </c>
      <c r="B6">
        <v>76.714705879999997</v>
      </c>
      <c r="C6">
        <v>60.698257640000001</v>
      </c>
      <c r="D6">
        <f t="shared" si="1"/>
        <v>1.6474937483889198</v>
      </c>
      <c r="E6">
        <f t="shared" si="2"/>
        <v>0.64749374838891982</v>
      </c>
      <c r="F6">
        <f t="shared" si="3"/>
        <v>1.8143227870047161</v>
      </c>
      <c r="G6">
        <f t="shared" si="4"/>
        <v>0.35687902562138563</v>
      </c>
      <c r="H6">
        <v>1400</v>
      </c>
    </row>
    <row r="7" spans="1:8" x14ac:dyDescent="0.2">
      <c r="A7">
        <f t="shared" si="0"/>
        <v>0.66600038874282297</v>
      </c>
      <c r="B7">
        <v>79.443877549999996</v>
      </c>
      <c r="C7">
        <v>64.547150180000003</v>
      </c>
      <c r="D7">
        <f t="shared" si="1"/>
        <v>1.5492550751060903</v>
      </c>
      <c r="E7">
        <f t="shared" si="2"/>
        <v>0.54925507510609028</v>
      </c>
      <c r="F7">
        <f t="shared" si="3"/>
        <v>1.6444781867819849</v>
      </c>
      <c r="G7">
        <f t="shared" si="4"/>
        <v>0.33399961125717703</v>
      </c>
      <c r="H7">
        <v>1500</v>
      </c>
    </row>
    <row r="8" spans="1:8" x14ac:dyDescent="0.2">
      <c r="A8">
        <f t="shared" si="0"/>
        <v>0.70532974775130175</v>
      </c>
      <c r="B8">
        <v>84.135281390000003</v>
      </c>
      <c r="C8">
        <v>68.344158480000004</v>
      </c>
      <c r="D8">
        <f t="shared" si="1"/>
        <v>1.4631828414313368</v>
      </c>
      <c r="E8">
        <f t="shared" si="2"/>
        <v>0.46318284143133681</v>
      </c>
      <c r="F8">
        <f t="shared" si="3"/>
        <v>1.5718683440105652</v>
      </c>
      <c r="G8">
        <f t="shared" si="4"/>
        <v>0.29467025224869825</v>
      </c>
      <c r="H8">
        <v>1600</v>
      </c>
    </row>
    <row r="9" spans="1:8" x14ac:dyDescent="0.2">
      <c r="A9">
        <f t="shared" si="0"/>
        <v>0.7431235686689065</v>
      </c>
      <c r="B9">
        <v>88.643518520000001</v>
      </c>
      <c r="C9">
        <v>72.627808819999998</v>
      </c>
      <c r="D9">
        <f t="shared" si="1"/>
        <v>1.376883064830428</v>
      </c>
      <c r="E9">
        <f t="shared" si="2"/>
        <v>0.37688306483042799</v>
      </c>
      <c r="F9">
        <f t="shared" si="3"/>
        <v>1.4671765053628272</v>
      </c>
      <c r="G9">
        <f t="shared" si="4"/>
        <v>0.2568764313310935</v>
      </c>
      <c r="H9">
        <v>1700</v>
      </c>
    </row>
    <row r="10" spans="1:8" x14ac:dyDescent="0.2">
      <c r="A10">
        <f t="shared" si="0"/>
        <v>0.77970743132249387</v>
      </c>
      <c r="B10">
        <v>93.007425740000002</v>
      </c>
      <c r="C10">
        <v>75.76637375</v>
      </c>
      <c r="D10">
        <f t="shared" si="1"/>
        <v>1.3198467215807592</v>
      </c>
      <c r="E10">
        <f t="shared" si="2"/>
        <v>0.31984672158075922</v>
      </c>
      <c r="F10">
        <f t="shared" si="3"/>
        <v>1.4519178903805594</v>
      </c>
      <c r="G10">
        <f t="shared" si="4"/>
        <v>0.22029256867750613</v>
      </c>
      <c r="H10">
        <v>1800</v>
      </c>
    </row>
    <row r="11" spans="1:8" x14ac:dyDescent="0.2">
      <c r="A11">
        <f t="shared" si="0"/>
        <v>0.80252363725320308</v>
      </c>
      <c r="B11">
        <v>95.729057589999996</v>
      </c>
      <c r="C11">
        <v>80.55037102</v>
      </c>
      <c r="D11">
        <f t="shared" si="1"/>
        <v>1.2414592103513815</v>
      </c>
      <c r="E11">
        <f t="shared" si="2"/>
        <v>0.24145921035138151</v>
      </c>
      <c r="F11">
        <f t="shared" si="3"/>
        <v>1.2227246187483165</v>
      </c>
      <c r="G11">
        <f t="shared" si="4"/>
        <v>0.19747636274679692</v>
      </c>
      <c r="H11">
        <v>1900</v>
      </c>
    </row>
    <row r="12" spans="1:8" x14ac:dyDescent="0.2">
      <c r="A12">
        <f t="shared" si="0"/>
        <v>0.8381703998506207</v>
      </c>
      <c r="B12">
        <v>99.981182799999999</v>
      </c>
      <c r="C12">
        <v>84.757755810000006</v>
      </c>
      <c r="D12">
        <f t="shared" si="1"/>
        <v>1.1798330317306684</v>
      </c>
      <c r="E12">
        <f t="shared" si="2"/>
        <v>0.17983303173066845</v>
      </c>
      <c r="F12">
        <f t="shared" si="3"/>
        <v>1.1112493114032957</v>
      </c>
      <c r="G12">
        <f t="shared" si="4"/>
        <v>0.1618296001493793</v>
      </c>
      <c r="H12">
        <v>2000</v>
      </c>
    </row>
    <row r="13" spans="1:8" x14ac:dyDescent="0.2">
      <c r="A13">
        <f t="shared" si="0"/>
        <v>0.87600634231461061</v>
      </c>
      <c r="B13">
        <v>104.49444440000001</v>
      </c>
      <c r="C13">
        <v>88.43826009</v>
      </c>
      <c r="D13">
        <f t="shared" si="1"/>
        <v>1.1307323312131434</v>
      </c>
      <c r="E13">
        <f t="shared" si="2"/>
        <v>0.13073233121314343</v>
      </c>
      <c r="F13">
        <f t="shared" si="3"/>
        <v>1.0543469210727872</v>
      </c>
      <c r="G13">
        <f t="shared" si="4"/>
        <v>0.12399365768538939</v>
      </c>
      <c r="H13">
        <v>2100</v>
      </c>
    </row>
    <row r="14" spans="1:8" x14ac:dyDescent="0.2">
      <c r="A14">
        <f t="shared" si="0"/>
        <v>0.89525255841864981</v>
      </c>
      <c r="B14">
        <v>106.7902299</v>
      </c>
      <c r="C14">
        <v>91.404781060000005</v>
      </c>
      <c r="D14">
        <f t="shared" si="1"/>
        <v>1.0940346756517902</v>
      </c>
      <c r="E14">
        <f t="shared" si="2"/>
        <v>9.4034675651790245E-2</v>
      </c>
      <c r="F14">
        <f t="shared" si="3"/>
        <v>0.89772766028619355</v>
      </c>
      <c r="G14">
        <f t="shared" si="4"/>
        <v>0.10474744158135019</v>
      </c>
      <c r="H14">
        <v>2200</v>
      </c>
    </row>
    <row r="15" spans="1:8" x14ac:dyDescent="0.2">
      <c r="A15">
        <f t="shared" si="0"/>
        <v>0.94413493378470981</v>
      </c>
      <c r="B15">
        <v>112.6211656</v>
      </c>
      <c r="C15">
        <v>95.660467749999995</v>
      </c>
      <c r="D15">
        <f t="shared" si="1"/>
        <v>1.0453639037323232</v>
      </c>
      <c r="E15">
        <f t="shared" si="2"/>
        <v>4.5363903732323241E-2</v>
      </c>
      <c r="F15">
        <f t="shared" si="3"/>
        <v>0.8120263127855597</v>
      </c>
      <c r="G15">
        <f t="shared" si="4"/>
        <v>5.5865066215290193E-2</v>
      </c>
      <c r="H15">
        <v>2300</v>
      </c>
    </row>
    <row r="16" spans="1:8" x14ac:dyDescent="0.2">
      <c r="A16">
        <f>B16/$B$16</f>
        <v>1</v>
      </c>
      <c r="B16">
        <v>119.2850318</v>
      </c>
      <c r="C16">
        <v>100</v>
      </c>
      <c r="D16">
        <f>1/C16*100</f>
        <v>1</v>
      </c>
      <c r="E16">
        <f>D16-$D$16</f>
        <v>0</v>
      </c>
      <c r="F16">
        <f t="shared" si="3"/>
        <v>0</v>
      </c>
      <c r="G16">
        <f t="shared" si="4"/>
        <v>0</v>
      </c>
      <c r="H16">
        <v>2400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E13A-0473-8348-9212-ABA98BE88DD8}">
  <dimension ref="A1:H16"/>
  <sheetViews>
    <sheetView workbookViewId="0">
      <selection activeCell="C22" sqref="C22"/>
    </sheetView>
  </sheetViews>
  <sheetFormatPr baseColWidth="10" defaultColWidth="11" defaultRowHeight="16" x14ac:dyDescent="0.2"/>
  <cols>
    <col min="2" max="2" width="14.6640625" customWidth="1"/>
    <col min="3" max="3" width="16" customWidth="1"/>
    <col min="4" max="4" width="16.5" customWidth="1"/>
    <col min="5" max="5" width="14.1640625" customWidth="1"/>
    <col min="6" max="6" width="12.1640625" customWidth="1"/>
    <col min="7" max="7" width="17.83203125" customWidth="1"/>
  </cols>
  <sheetData>
    <row r="1" spans="1:8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  <c r="H1" t="s">
        <v>11</v>
      </c>
    </row>
    <row r="2" spans="1:8" x14ac:dyDescent="0.2">
      <c r="A2">
        <f t="shared" ref="A2:A15" si="0">B2/$B$16</f>
        <v>0.7139325791420843</v>
      </c>
      <c r="B2">
        <v>85.467688940000002</v>
      </c>
      <c r="C2">
        <v>62.648231520000003</v>
      </c>
      <c r="D2">
        <f t="shared" ref="D2:D15" si="1">1/C2*100</f>
        <v>1.5962142517634468</v>
      </c>
      <c r="E2">
        <f t="shared" ref="E2:E15" si="2">D2-$D$16</f>
        <v>0.59621425176344678</v>
      </c>
      <c r="F2">
        <f>IFERROR(E2/G2,0)</f>
        <v>2.0841738985005747</v>
      </c>
      <c r="G2">
        <f>$A$16-A2</f>
        <v>0.2860674208579157</v>
      </c>
      <c r="H2">
        <v>1000</v>
      </c>
    </row>
    <row r="3" spans="1:8" x14ac:dyDescent="0.2">
      <c r="A3">
        <f t="shared" si="0"/>
        <v>0.73099715886243366</v>
      </c>
      <c r="B3">
        <v>87.510557180000006</v>
      </c>
      <c r="C3">
        <v>66.037876049999994</v>
      </c>
      <c r="D3">
        <f t="shared" si="1"/>
        <v>1.5142824993990702</v>
      </c>
      <c r="E3">
        <f t="shared" si="2"/>
        <v>0.51428249939907023</v>
      </c>
      <c r="F3">
        <f t="shared" ref="F3:F16" si="3">IFERROR(E3/G3,0)</f>
        <v>1.9118106605278173</v>
      </c>
      <c r="G3">
        <f t="shared" ref="G3:G16" si="4">$A$16-A3</f>
        <v>0.26900284113756634</v>
      </c>
      <c r="H3">
        <v>1100</v>
      </c>
    </row>
    <row r="4" spans="1:8" x14ac:dyDescent="0.2">
      <c r="A4">
        <f t="shared" si="0"/>
        <v>0.7386914039486483</v>
      </c>
      <c r="B4">
        <v>88.431665649999999</v>
      </c>
      <c r="C4">
        <v>69.008215539999995</v>
      </c>
      <c r="D4">
        <f t="shared" si="1"/>
        <v>1.4491028237360506</v>
      </c>
      <c r="E4">
        <f t="shared" si="2"/>
        <v>0.44910282373605059</v>
      </c>
      <c r="F4">
        <f t="shared" si="3"/>
        <v>1.7186683887268448</v>
      </c>
      <c r="G4">
        <f t="shared" si="4"/>
        <v>0.2613085960513517</v>
      </c>
      <c r="H4">
        <v>1200</v>
      </c>
    </row>
    <row r="5" spans="1:8" x14ac:dyDescent="0.2">
      <c r="A5">
        <f t="shared" si="0"/>
        <v>0.76510807865768038</v>
      </c>
      <c r="B5">
        <v>91.594110119999996</v>
      </c>
      <c r="C5">
        <v>72.272877159999993</v>
      </c>
      <c r="D5">
        <f t="shared" si="1"/>
        <v>1.3836449291843858</v>
      </c>
      <c r="E5">
        <f t="shared" si="2"/>
        <v>0.38364492918438575</v>
      </c>
      <c r="F5">
        <f t="shared" si="3"/>
        <v>1.6332827752951156</v>
      </c>
      <c r="G5">
        <f t="shared" si="4"/>
        <v>0.23489192134231962</v>
      </c>
      <c r="H5">
        <v>1300</v>
      </c>
    </row>
    <row r="6" spans="1:8" x14ac:dyDescent="0.2">
      <c r="A6">
        <f t="shared" si="0"/>
        <v>0.78353895178220911</v>
      </c>
      <c r="B6">
        <v>93.800542739999997</v>
      </c>
      <c r="C6">
        <v>75.879306600000007</v>
      </c>
      <c r="D6">
        <f t="shared" si="1"/>
        <v>1.3178823645180753</v>
      </c>
      <c r="E6">
        <f t="shared" si="2"/>
        <v>0.31788236451807528</v>
      </c>
      <c r="F6">
        <f t="shared" si="3"/>
        <v>1.4685430341178058</v>
      </c>
      <c r="G6">
        <f t="shared" si="4"/>
        <v>0.21646104821779089</v>
      </c>
      <c r="H6">
        <v>1400</v>
      </c>
    </row>
    <row r="7" spans="1:8" x14ac:dyDescent="0.2">
      <c r="A7">
        <f t="shared" si="0"/>
        <v>0.80058999097530403</v>
      </c>
      <c r="B7">
        <v>95.841789989999995</v>
      </c>
      <c r="C7">
        <v>78.794143480000002</v>
      </c>
      <c r="D7">
        <f t="shared" si="1"/>
        <v>1.2691298564008453</v>
      </c>
      <c r="E7">
        <f t="shared" si="2"/>
        <v>0.2691298564008453</v>
      </c>
      <c r="F7">
        <f t="shared" si="3"/>
        <v>1.3496306314670237</v>
      </c>
      <c r="G7">
        <f t="shared" si="4"/>
        <v>0.19941000902469597</v>
      </c>
      <c r="H7">
        <v>1500</v>
      </c>
    </row>
    <row r="8" spans="1:8" x14ac:dyDescent="0.2">
      <c r="A8">
        <f t="shared" si="0"/>
        <v>0.81969336250235403</v>
      </c>
      <c r="B8">
        <v>98.128730050000001</v>
      </c>
      <c r="C8">
        <v>79.717777139999995</v>
      </c>
      <c r="D8">
        <f t="shared" si="1"/>
        <v>1.2544253438524817</v>
      </c>
      <c r="E8">
        <f t="shared" si="2"/>
        <v>0.25442534385248172</v>
      </c>
      <c r="F8">
        <f t="shared" si="3"/>
        <v>1.4110703154552666</v>
      </c>
      <c r="G8">
        <f t="shared" si="4"/>
        <v>0.18030663749764597</v>
      </c>
      <c r="H8">
        <v>1600</v>
      </c>
    </row>
    <row r="9" spans="1:8" x14ac:dyDescent="0.2">
      <c r="A9">
        <f t="shared" si="0"/>
        <v>0.86117817908636085</v>
      </c>
      <c r="B9">
        <v>103.09504130000001</v>
      </c>
      <c r="C9">
        <v>84.121420619999995</v>
      </c>
      <c r="D9">
        <f t="shared" si="1"/>
        <v>1.1887578605184046</v>
      </c>
      <c r="E9">
        <f t="shared" si="2"/>
        <v>0.1887578605184046</v>
      </c>
      <c r="F9">
        <f t="shared" si="3"/>
        <v>1.3597131868471211</v>
      </c>
      <c r="G9">
        <f t="shared" si="4"/>
        <v>0.13882182091363915</v>
      </c>
      <c r="H9">
        <v>1700</v>
      </c>
    </row>
    <row r="10" spans="1:8" x14ac:dyDescent="0.2">
      <c r="A10">
        <f t="shared" si="0"/>
        <v>0.86307274693228786</v>
      </c>
      <c r="B10">
        <v>103.3218475</v>
      </c>
      <c r="C10">
        <v>85.101221260000003</v>
      </c>
      <c r="D10">
        <f t="shared" si="1"/>
        <v>1.1750712683015614</v>
      </c>
      <c r="E10">
        <f t="shared" si="2"/>
        <v>0.17507126830156139</v>
      </c>
      <c r="F10">
        <f t="shared" si="3"/>
        <v>1.2785713901306892</v>
      </c>
      <c r="G10">
        <f t="shared" si="4"/>
        <v>0.13692725306771214</v>
      </c>
      <c r="H10">
        <v>1800</v>
      </c>
    </row>
    <row r="11" spans="1:8" x14ac:dyDescent="0.2">
      <c r="A11">
        <f t="shared" si="0"/>
        <v>0.89761447583613185</v>
      </c>
      <c r="B11">
        <v>107.4569743</v>
      </c>
      <c r="C11">
        <v>87.608318639999993</v>
      </c>
      <c r="D11">
        <f t="shared" si="1"/>
        <v>1.1414441180057329</v>
      </c>
      <c r="E11">
        <f t="shared" si="2"/>
        <v>0.14144411800573287</v>
      </c>
      <c r="F11">
        <f t="shared" si="3"/>
        <v>1.3814855094100158</v>
      </c>
      <c r="G11">
        <f t="shared" si="4"/>
        <v>0.10238552416386815</v>
      </c>
      <c r="H11">
        <v>1900</v>
      </c>
    </row>
    <row r="12" spans="1:8" x14ac:dyDescent="0.2">
      <c r="A12">
        <f t="shared" si="0"/>
        <v>0.91283614802257584</v>
      </c>
      <c r="B12">
        <v>109.2792208</v>
      </c>
      <c r="C12">
        <v>91.430319229999995</v>
      </c>
      <c r="D12">
        <f t="shared" si="1"/>
        <v>1.0937290916423721</v>
      </c>
      <c r="E12">
        <f t="shared" si="2"/>
        <v>9.3729091642372087E-2</v>
      </c>
      <c r="F12">
        <f t="shared" si="3"/>
        <v>1.0753206692454156</v>
      </c>
      <c r="G12">
        <f t="shared" si="4"/>
        <v>8.7163851977424156E-2</v>
      </c>
      <c r="H12">
        <v>2000</v>
      </c>
    </row>
    <row r="13" spans="1:8" x14ac:dyDescent="0.2">
      <c r="A13">
        <f t="shared" si="0"/>
        <v>0.93835940496217762</v>
      </c>
      <c r="B13">
        <v>112.3347107</v>
      </c>
      <c r="C13">
        <v>94.291037660000001</v>
      </c>
      <c r="D13">
        <f t="shared" si="1"/>
        <v>1.0605461821364794</v>
      </c>
      <c r="E13">
        <f t="shared" si="2"/>
        <v>6.0546182136479443E-2</v>
      </c>
      <c r="F13">
        <f t="shared" si="3"/>
        <v>0.98224525735562085</v>
      </c>
      <c r="G13">
        <f t="shared" si="4"/>
        <v>6.1640595037822377E-2</v>
      </c>
      <c r="H13">
        <v>2100</v>
      </c>
    </row>
    <row r="14" spans="1:8" x14ac:dyDescent="0.2">
      <c r="A14">
        <f t="shared" si="0"/>
        <v>0.95563658613826807</v>
      </c>
      <c r="B14">
        <v>114.4030303</v>
      </c>
      <c r="C14">
        <v>94.292639129999998</v>
      </c>
      <c r="D14">
        <f t="shared" si="1"/>
        <v>1.0605281697771907</v>
      </c>
      <c r="E14">
        <f t="shared" si="2"/>
        <v>6.0528169777190666E-2</v>
      </c>
      <c r="F14">
        <f t="shared" si="3"/>
        <v>1.3643713255665955</v>
      </c>
      <c r="G14">
        <f t="shared" si="4"/>
        <v>4.4363413861731926E-2</v>
      </c>
      <c r="H14">
        <v>2200</v>
      </c>
    </row>
    <row r="15" spans="1:8" x14ac:dyDescent="0.2">
      <c r="A15">
        <f t="shared" si="0"/>
        <v>0.97570797217151051</v>
      </c>
      <c r="B15">
        <v>116.8058552</v>
      </c>
      <c r="C15">
        <v>97.063090180000003</v>
      </c>
      <c r="D15">
        <f t="shared" si="1"/>
        <v>1.0302577407596814</v>
      </c>
      <c r="E15">
        <f t="shared" si="2"/>
        <v>3.0257740759681351E-2</v>
      </c>
      <c r="F15">
        <f t="shared" si="3"/>
        <v>1.245583158940536</v>
      </c>
      <c r="G15">
        <f t="shared" si="4"/>
        <v>2.4292027828489493E-2</v>
      </c>
      <c r="H15">
        <v>2300</v>
      </c>
    </row>
    <row r="16" spans="1:8" x14ac:dyDescent="0.2">
      <c r="A16">
        <f>B16/$B$16</f>
        <v>1</v>
      </c>
      <c r="B16">
        <v>119.71394979999999</v>
      </c>
      <c r="C16">
        <v>100</v>
      </c>
      <c r="D16">
        <f>1/C16*100</f>
        <v>1</v>
      </c>
      <c r="E16">
        <f>D16-$D$16</f>
        <v>0</v>
      </c>
      <c r="F16">
        <f t="shared" si="3"/>
        <v>0</v>
      </c>
      <c r="G16">
        <f t="shared" si="4"/>
        <v>0</v>
      </c>
      <c r="H16">
        <v>2400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D575-4C9B-754A-AE7B-6854334B6499}">
  <dimension ref="A1:H16"/>
  <sheetViews>
    <sheetView workbookViewId="0">
      <selection activeCell="B2" sqref="B2:C16"/>
    </sheetView>
  </sheetViews>
  <sheetFormatPr baseColWidth="10" defaultColWidth="11" defaultRowHeight="16" x14ac:dyDescent="0.2"/>
  <cols>
    <col min="2" max="2" width="14.6640625" customWidth="1"/>
    <col min="3" max="3" width="16" customWidth="1"/>
    <col min="4" max="4" width="16.5" customWidth="1"/>
    <col min="5" max="5" width="14.1640625" customWidth="1"/>
    <col min="6" max="6" width="12.1640625" customWidth="1"/>
    <col min="7" max="7" width="17.83203125" customWidth="1"/>
  </cols>
  <sheetData>
    <row r="1" spans="1:8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  <c r="H1" t="s">
        <v>11</v>
      </c>
    </row>
    <row r="2" spans="1:8" x14ac:dyDescent="0.2">
      <c r="A2">
        <f t="shared" ref="A2:A15" si="0">B2/$B$16</f>
        <v>0.58844289833337582</v>
      </c>
      <c r="B2">
        <v>68.435314689999998</v>
      </c>
      <c r="C2">
        <v>42.937385480000003</v>
      </c>
      <c r="D2">
        <f t="shared" ref="D2:D15" si="1">1/C2*100</f>
        <v>2.3289727327850329</v>
      </c>
      <c r="E2">
        <f t="shared" ref="E2:E15" si="2">D2-$D$16</f>
        <v>1.3289727327850329</v>
      </c>
      <c r="F2">
        <f>IFERROR(E2/G2,0)</f>
        <v>3.2291332779905422</v>
      </c>
      <c r="G2">
        <f>$A$16-A2</f>
        <v>0.41155710166662418</v>
      </c>
      <c r="H2">
        <v>1000</v>
      </c>
    </row>
    <row r="3" spans="1:8" x14ac:dyDescent="0.2">
      <c r="A3">
        <f t="shared" si="0"/>
        <v>0.61019604564940422</v>
      </c>
      <c r="B3">
        <v>70.965183749999994</v>
      </c>
      <c r="C3">
        <v>46.379192860000003</v>
      </c>
      <c r="D3">
        <f t="shared" si="1"/>
        <v>2.1561392907776447</v>
      </c>
      <c r="E3">
        <f t="shared" si="2"/>
        <v>1.1561392907776447</v>
      </c>
      <c r="F3">
        <f t="shared" ref="F3:F16" si="3">IFERROR(E3/G3,0)</f>
        <v>2.9659506474318493</v>
      </c>
      <c r="G3">
        <f t="shared" ref="G3:G16" si="4">$A$16-A3</f>
        <v>0.38980395435059578</v>
      </c>
      <c r="H3">
        <v>1100</v>
      </c>
    </row>
    <row r="4" spans="1:8" x14ac:dyDescent="0.2">
      <c r="A4">
        <f t="shared" si="0"/>
        <v>0.62090050027167099</v>
      </c>
      <c r="B4">
        <v>72.210101010000002</v>
      </c>
      <c r="C4">
        <v>49.301012890000003</v>
      </c>
      <c r="D4">
        <f t="shared" si="1"/>
        <v>2.028355892466533</v>
      </c>
      <c r="E4">
        <f t="shared" si="2"/>
        <v>1.028355892466533</v>
      </c>
      <c r="F4">
        <f t="shared" si="3"/>
        <v>2.7126279333090002</v>
      </c>
      <c r="G4">
        <f t="shared" si="4"/>
        <v>0.37909949972832901</v>
      </c>
      <c r="H4">
        <v>1200</v>
      </c>
    </row>
    <row r="5" spans="1:8" x14ac:dyDescent="0.2">
      <c r="A5">
        <f t="shared" si="0"/>
        <v>0.64656869560652996</v>
      </c>
      <c r="B5">
        <v>75.195286199999998</v>
      </c>
      <c r="C5">
        <v>55.207013519999997</v>
      </c>
      <c r="D5">
        <f t="shared" si="1"/>
        <v>1.8113640572818293</v>
      </c>
      <c r="E5">
        <f t="shared" si="2"/>
        <v>0.81136405728182925</v>
      </c>
      <c r="F5">
        <f t="shared" si="3"/>
        <v>2.2956768322325778</v>
      </c>
      <c r="G5">
        <f t="shared" si="4"/>
        <v>0.35343130439347004</v>
      </c>
      <c r="H5">
        <v>1300</v>
      </c>
    </row>
    <row r="6" spans="1:8" x14ac:dyDescent="0.2">
      <c r="A6">
        <f t="shared" si="0"/>
        <v>0.65870257562744328</v>
      </c>
      <c r="B6">
        <v>76.606444190000005</v>
      </c>
      <c r="C6">
        <v>57.913245250000003</v>
      </c>
      <c r="D6">
        <f t="shared" si="1"/>
        <v>1.7267207107513975</v>
      </c>
      <c r="E6">
        <f t="shared" si="2"/>
        <v>0.72672071075139755</v>
      </c>
      <c r="F6">
        <f t="shared" si="3"/>
        <v>2.1292885877688805</v>
      </c>
      <c r="G6">
        <f t="shared" si="4"/>
        <v>0.34129742437255672</v>
      </c>
      <c r="H6">
        <v>1400</v>
      </c>
    </row>
    <row r="7" spans="1:8" x14ac:dyDescent="0.2">
      <c r="A7">
        <f t="shared" si="0"/>
        <v>0.67482910021387899</v>
      </c>
      <c r="B7">
        <v>78.481942709999998</v>
      </c>
      <c r="C7">
        <v>62.587173579999998</v>
      </c>
      <c r="D7">
        <f t="shared" si="1"/>
        <v>1.5977714646624568</v>
      </c>
      <c r="E7">
        <f t="shared" si="2"/>
        <v>0.59777146466245679</v>
      </c>
      <c r="F7">
        <f t="shared" si="3"/>
        <v>1.8383301367239102</v>
      </c>
      <c r="G7">
        <f t="shared" si="4"/>
        <v>0.32517089978612101</v>
      </c>
      <c r="H7">
        <v>1500</v>
      </c>
    </row>
    <row r="8" spans="1:8" x14ac:dyDescent="0.2">
      <c r="A8">
        <f t="shared" si="0"/>
        <v>0.71834485253770897</v>
      </c>
      <c r="B8">
        <v>83.542780750000006</v>
      </c>
      <c r="C8">
        <v>66.146698259999994</v>
      </c>
      <c r="D8">
        <f t="shared" si="1"/>
        <v>1.5117912553538846</v>
      </c>
      <c r="E8">
        <f t="shared" si="2"/>
        <v>0.51179125535388459</v>
      </c>
      <c r="F8">
        <f t="shared" si="3"/>
        <v>1.8170846865932211</v>
      </c>
      <c r="G8">
        <f t="shared" si="4"/>
        <v>0.28165514746229103</v>
      </c>
      <c r="H8">
        <v>1600</v>
      </c>
    </row>
    <row r="9" spans="1:8" x14ac:dyDescent="0.2">
      <c r="A9">
        <f t="shared" si="0"/>
        <v>0.73505191681806692</v>
      </c>
      <c r="B9">
        <v>85.485795449999998</v>
      </c>
      <c r="C9">
        <v>70.041843220000004</v>
      </c>
      <c r="D9">
        <f t="shared" si="1"/>
        <v>1.427717995454546</v>
      </c>
      <c r="E9">
        <f t="shared" si="2"/>
        <v>0.42771799545454603</v>
      </c>
      <c r="F9">
        <f t="shared" si="3"/>
        <v>1.6143464422078608</v>
      </c>
      <c r="G9">
        <f t="shared" si="4"/>
        <v>0.26494808318193308</v>
      </c>
      <c r="H9">
        <v>1700</v>
      </c>
    </row>
    <row r="10" spans="1:8" x14ac:dyDescent="0.2">
      <c r="A10">
        <f t="shared" si="0"/>
        <v>0.75427320732043612</v>
      </c>
      <c r="B10">
        <v>87.721212120000004</v>
      </c>
      <c r="C10">
        <v>74.724498550000007</v>
      </c>
      <c r="D10">
        <f t="shared" si="1"/>
        <v>1.3382491945809114</v>
      </c>
      <c r="E10">
        <f t="shared" si="2"/>
        <v>0.33824919458091141</v>
      </c>
      <c r="F10">
        <f t="shared" si="3"/>
        <v>1.376525493587506</v>
      </c>
      <c r="G10">
        <f t="shared" si="4"/>
        <v>0.24572679267956388</v>
      </c>
      <c r="H10">
        <v>1800</v>
      </c>
    </row>
    <row r="11" spans="1:8" x14ac:dyDescent="0.2">
      <c r="A11">
        <f t="shared" si="0"/>
        <v>0.77480544747190461</v>
      </c>
      <c r="B11">
        <v>90.109090910000006</v>
      </c>
      <c r="C11">
        <v>79.691496670000006</v>
      </c>
      <c r="D11">
        <f t="shared" si="1"/>
        <v>1.2548390252236932</v>
      </c>
      <c r="E11">
        <f t="shared" si="2"/>
        <v>0.25483902522369317</v>
      </c>
      <c r="F11">
        <f t="shared" si="3"/>
        <v>1.1316393863119727</v>
      </c>
      <c r="G11">
        <f t="shared" si="4"/>
        <v>0.22519455252809539</v>
      </c>
      <c r="H11">
        <v>1900</v>
      </c>
    </row>
    <row r="12" spans="1:8" x14ac:dyDescent="0.2">
      <c r="A12">
        <f t="shared" si="0"/>
        <v>0.79681544310644103</v>
      </c>
      <c r="B12">
        <v>92.668831170000004</v>
      </c>
      <c r="C12">
        <v>79.447820460000003</v>
      </c>
      <c r="D12">
        <f t="shared" si="1"/>
        <v>1.258687770425968</v>
      </c>
      <c r="E12">
        <f t="shared" si="2"/>
        <v>0.25868777042596802</v>
      </c>
      <c r="F12">
        <f t="shared" si="3"/>
        <v>1.273166496415794</v>
      </c>
      <c r="G12">
        <f t="shared" si="4"/>
        <v>0.20318455689355897</v>
      </c>
      <c r="H12">
        <v>2000</v>
      </c>
    </row>
    <row r="13" spans="1:8" x14ac:dyDescent="0.2">
      <c r="A13">
        <f t="shared" si="0"/>
        <v>0.81595330734682503</v>
      </c>
      <c r="B13">
        <v>94.894545449999995</v>
      </c>
      <c r="C13">
        <v>85.297601810000003</v>
      </c>
      <c r="D13">
        <f t="shared" si="1"/>
        <v>1.17236590335505</v>
      </c>
      <c r="E13">
        <f t="shared" si="2"/>
        <v>0.17236590335504998</v>
      </c>
      <c r="F13">
        <f t="shared" si="3"/>
        <v>0.93653355499228264</v>
      </c>
      <c r="G13">
        <f t="shared" si="4"/>
        <v>0.18404669265317497</v>
      </c>
      <c r="H13">
        <v>2100</v>
      </c>
    </row>
    <row r="14" spans="1:8" x14ac:dyDescent="0.2">
      <c r="A14">
        <f t="shared" si="0"/>
        <v>0.84174888822486671</v>
      </c>
      <c r="B14">
        <v>97.894545449999995</v>
      </c>
      <c r="C14">
        <v>88.552910580000002</v>
      </c>
      <c r="D14">
        <f t="shared" si="1"/>
        <v>1.1292683588266534</v>
      </c>
      <c r="E14">
        <f t="shared" si="2"/>
        <v>0.12926835882665344</v>
      </c>
      <c r="F14">
        <f t="shared" si="3"/>
        <v>0.81685592838258947</v>
      </c>
      <c r="G14">
        <f t="shared" si="4"/>
        <v>0.15825111177513329</v>
      </c>
      <c r="H14">
        <v>2200</v>
      </c>
    </row>
    <row r="15" spans="1:8" x14ac:dyDescent="0.2">
      <c r="A15">
        <f t="shared" si="0"/>
        <v>0.86955577676947649</v>
      </c>
      <c r="B15">
        <v>101.12845849999999</v>
      </c>
      <c r="C15">
        <v>96.015000229999998</v>
      </c>
      <c r="D15">
        <f t="shared" si="1"/>
        <v>1.0415039291824622</v>
      </c>
      <c r="E15">
        <f t="shared" si="2"/>
        <v>4.1503929182462151E-2</v>
      </c>
      <c r="F15">
        <f t="shared" si="3"/>
        <v>0.3181737615863266</v>
      </c>
      <c r="G15">
        <f t="shared" si="4"/>
        <v>0.13044422323052351</v>
      </c>
      <c r="H15">
        <v>2300</v>
      </c>
    </row>
    <row r="16" spans="1:8" x14ac:dyDescent="0.2">
      <c r="A16">
        <f>B16/$B$16</f>
        <v>1</v>
      </c>
      <c r="B16">
        <v>116.2989899</v>
      </c>
      <c r="C16">
        <v>100</v>
      </c>
      <c r="D16">
        <f>1/C16*100</f>
        <v>1</v>
      </c>
      <c r="E16">
        <f>D16-$D$16</f>
        <v>0</v>
      </c>
      <c r="F16">
        <f t="shared" si="3"/>
        <v>0</v>
      </c>
      <c r="G16">
        <f t="shared" si="4"/>
        <v>0</v>
      </c>
      <c r="H16">
        <v>2400</v>
      </c>
    </row>
  </sheetData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9526-B852-F242-A3F7-3FC81F3AD9E0}">
  <dimension ref="A1:H16"/>
  <sheetViews>
    <sheetView tabSelected="1" workbookViewId="0">
      <selection activeCell="G17" sqref="G17"/>
    </sheetView>
  </sheetViews>
  <sheetFormatPr baseColWidth="10" defaultColWidth="11" defaultRowHeight="16" x14ac:dyDescent="0.2"/>
  <cols>
    <col min="2" max="2" width="14.6640625" customWidth="1"/>
    <col min="3" max="3" width="16" customWidth="1"/>
    <col min="4" max="4" width="16.5" customWidth="1"/>
    <col min="5" max="5" width="14.1640625" customWidth="1"/>
    <col min="6" max="6" width="12.1640625" customWidth="1"/>
    <col min="7" max="7" width="17.83203125" customWidth="1"/>
  </cols>
  <sheetData>
    <row r="1" spans="1:8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  <c r="H1" t="s">
        <v>11</v>
      </c>
    </row>
    <row r="2" spans="1:8" x14ac:dyDescent="0.2">
      <c r="A2">
        <f t="shared" ref="A2:A15" si="0">B2/$B$16</f>
        <v>0.5853651583847439</v>
      </c>
      <c r="B2">
        <v>80.023503000000005</v>
      </c>
      <c r="C2">
        <v>53.109729000000002</v>
      </c>
      <c r="D2">
        <f t="shared" ref="D2:D31" si="1">1/C2*100</f>
        <v>1.8828941868635782</v>
      </c>
      <c r="E2">
        <f t="shared" ref="E2:E15" si="2">D2-$D$16</f>
        <v>0.88289418686357823</v>
      </c>
      <c r="F2">
        <f>IFERROR(E2/G2,0)</f>
        <v>2.1293294683682777</v>
      </c>
      <c r="G2">
        <f>$A$16-A2</f>
        <v>0.4146348416152561</v>
      </c>
      <c r="H2">
        <v>1000</v>
      </c>
    </row>
    <row r="3" spans="1:8" x14ac:dyDescent="0.2">
      <c r="A3">
        <f t="shared" si="0"/>
        <v>0.60720817620285383</v>
      </c>
      <c r="B3">
        <v>83.009596000000002</v>
      </c>
      <c r="C3">
        <v>60.344082</v>
      </c>
      <c r="D3">
        <f t="shared" si="1"/>
        <v>1.6571633321060382</v>
      </c>
      <c r="E3">
        <f t="shared" si="2"/>
        <v>0.65716333210603817</v>
      </c>
      <c r="F3">
        <f t="shared" ref="F3:F16" si="3">IFERROR(E3/G3,0)</f>
        <v>1.6730575645724854</v>
      </c>
      <c r="G3">
        <f t="shared" ref="G3:G16" si="4">$A$16-A3</f>
        <v>0.39279182379714617</v>
      </c>
      <c r="H3">
        <v>1100</v>
      </c>
    </row>
    <row r="4" spans="1:8" x14ac:dyDescent="0.2">
      <c r="A4">
        <f t="shared" si="0"/>
        <v>0.61983106495366957</v>
      </c>
      <c r="B4">
        <v>84.735232999999994</v>
      </c>
      <c r="C4">
        <v>62.392927</v>
      </c>
      <c r="D4">
        <f t="shared" si="1"/>
        <v>1.6027457727700449</v>
      </c>
      <c r="E4">
        <f t="shared" si="2"/>
        <v>0.60274577277004493</v>
      </c>
      <c r="F4">
        <f t="shared" si="3"/>
        <v>1.5854682411033652</v>
      </c>
      <c r="G4">
        <f t="shared" si="4"/>
        <v>0.38016893504633043</v>
      </c>
      <c r="H4">
        <v>1200</v>
      </c>
    </row>
    <row r="5" spans="1:8" x14ac:dyDescent="0.2">
      <c r="A5">
        <f t="shared" si="0"/>
        <v>0.64065019942654</v>
      </c>
      <c r="B5">
        <v>87.581354000000005</v>
      </c>
      <c r="C5">
        <v>66.772675000000007</v>
      </c>
      <c r="D5">
        <f t="shared" si="1"/>
        <v>1.4976185992249074</v>
      </c>
      <c r="E5">
        <f t="shared" si="2"/>
        <v>0.49761859922490737</v>
      </c>
      <c r="F5">
        <f t="shared" si="3"/>
        <v>1.3847749419390085</v>
      </c>
      <c r="G5">
        <f t="shared" si="4"/>
        <v>0.35934980057346</v>
      </c>
      <c r="H5">
        <v>1300</v>
      </c>
    </row>
    <row r="6" spans="1:8" x14ac:dyDescent="0.2">
      <c r="A6">
        <f t="shared" si="0"/>
        <v>0.66718928323923199</v>
      </c>
      <c r="B6">
        <v>91.209432000000007</v>
      </c>
      <c r="C6">
        <v>76.426997</v>
      </c>
      <c r="D6">
        <f t="shared" si="1"/>
        <v>1.3084381687795479</v>
      </c>
      <c r="E6">
        <f t="shared" si="2"/>
        <v>0.30843816877954788</v>
      </c>
      <c r="F6">
        <f t="shared" si="3"/>
        <v>0.92676753856234839</v>
      </c>
      <c r="G6">
        <f t="shared" si="4"/>
        <v>0.33281071676076801</v>
      </c>
      <c r="H6">
        <v>1400</v>
      </c>
    </row>
    <row r="7" spans="1:8" x14ac:dyDescent="0.2">
      <c r="A7">
        <f t="shared" si="0"/>
        <v>0.69009849387353894</v>
      </c>
      <c r="B7">
        <v>94.341280999999995</v>
      </c>
      <c r="C7">
        <v>73.074408000000005</v>
      </c>
      <c r="D7">
        <f t="shared" si="1"/>
        <v>1.3684681509838572</v>
      </c>
      <c r="E7">
        <f t="shared" si="2"/>
        <v>0.36846815098385721</v>
      </c>
      <c r="F7">
        <f t="shared" si="3"/>
        <v>1.1889847054615377</v>
      </c>
      <c r="G7">
        <f t="shared" si="4"/>
        <v>0.30990150612646106</v>
      </c>
      <c r="H7">
        <v>1500</v>
      </c>
    </row>
    <row r="8" spans="1:8" x14ac:dyDescent="0.2">
      <c r="A8">
        <f t="shared" si="0"/>
        <v>0.7123082376627734</v>
      </c>
      <c r="B8">
        <v>97.377508000000006</v>
      </c>
      <c r="C8">
        <v>75.626605999999995</v>
      </c>
      <c r="D8">
        <f t="shared" si="1"/>
        <v>1.3222859690411073</v>
      </c>
      <c r="E8">
        <f t="shared" si="2"/>
        <v>0.32228596904110729</v>
      </c>
      <c r="F8">
        <f t="shared" si="3"/>
        <v>1.1202474704970178</v>
      </c>
      <c r="G8">
        <f t="shared" si="4"/>
        <v>0.2876917623372266</v>
      </c>
      <c r="H8">
        <v>1600</v>
      </c>
    </row>
    <row r="9" spans="1:8" x14ac:dyDescent="0.2">
      <c r="A9">
        <f t="shared" si="0"/>
        <v>0.7344537930689421</v>
      </c>
      <c r="B9">
        <v>100.40496</v>
      </c>
      <c r="C9">
        <v>77.453275000000005</v>
      </c>
      <c r="D9">
        <f t="shared" si="1"/>
        <v>1.291100989596631</v>
      </c>
      <c r="E9">
        <f t="shared" si="2"/>
        <v>0.291100989596631</v>
      </c>
      <c r="F9">
        <f t="shared" si="3"/>
        <v>1.096234787010939</v>
      </c>
      <c r="G9">
        <f t="shared" si="4"/>
        <v>0.2655462069310579</v>
      </c>
      <c r="H9">
        <v>1700</v>
      </c>
    </row>
    <row r="10" spans="1:8" x14ac:dyDescent="0.2">
      <c r="A10">
        <f t="shared" si="0"/>
        <v>0.74670204111011751</v>
      </c>
      <c r="B10">
        <v>102.079381</v>
      </c>
      <c r="C10">
        <v>78.720592999999994</v>
      </c>
      <c r="D10">
        <f t="shared" si="1"/>
        <v>1.2703156339282151</v>
      </c>
      <c r="E10">
        <f t="shared" si="2"/>
        <v>0.27031563392821512</v>
      </c>
      <c r="F10">
        <f t="shared" si="3"/>
        <v>1.0671844144063189</v>
      </c>
      <c r="G10">
        <f t="shared" si="4"/>
        <v>0.25329795888988249</v>
      </c>
      <c r="H10">
        <v>1800</v>
      </c>
    </row>
    <row r="11" spans="1:8" x14ac:dyDescent="0.2">
      <c r="A11">
        <f t="shared" si="0"/>
        <v>0.76484099056244248</v>
      </c>
      <c r="B11">
        <v>104.559102</v>
      </c>
      <c r="C11">
        <v>80.309307000000004</v>
      </c>
      <c r="D11">
        <f t="shared" si="1"/>
        <v>1.2451856918650785</v>
      </c>
      <c r="E11">
        <f t="shared" si="2"/>
        <v>0.24518569186507855</v>
      </c>
      <c r="F11">
        <f t="shared" si="3"/>
        <v>1.0426378834113241</v>
      </c>
      <c r="G11">
        <f t="shared" si="4"/>
        <v>0.23515900943755752</v>
      </c>
      <c r="H11">
        <v>1900</v>
      </c>
    </row>
    <row r="12" spans="1:8" x14ac:dyDescent="0.2">
      <c r="A12">
        <f t="shared" si="0"/>
        <v>0.79032315687172672</v>
      </c>
      <c r="B12">
        <v>108.042692</v>
      </c>
      <c r="C12">
        <v>81.890827999999999</v>
      </c>
      <c r="D12">
        <f t="shared" si="1"/>
        <v>1.2211379765265045</v>
      </c>
      <c r="E12">
        <f t="shared" si="2"/>
        <v>0.22113797652650447</v>
      </c>
      <c r="F12">
        <f t="shared" si="3"/>
        <v>1.0546609402699736</v>
      </c>
      <c r="G12">
        <f t="shared" si="4"/>
        <v>0.20967684312827328</v>
      </c>
      <c r="H12">
        <v>2000</v>
      </c>
    </row>
    <row r="13" spans="1:8" x14ac:dyDescent="0.2">
      <c r="A13">
        <f t="shared" si="0"/>
        <v>0.81145060771586064</v>
      </c>
      <c r="B13">
        <v>110.93096199999999</v>
      </c>
      <c r="C13">
        <v>76.480919</v>
      </c>
      <c r="D13">
        <f t="shared" si="1"/>
        <v>1.3075156693658452</v>
      </c>
      <c r="E13">
        <f t="shared" si="2"/>
        <v>0.30751566936584518</v>
      </c>
      <c r="F13">
        <f t="shared" si="3"/>
        <v>1.630955505295008</v>
      </c>
      <c r="G13">
        <f t="shared" si="4"/>
        <v>0.18854939228413936</v>
      </c>
      <c r="H13">
        <v>2100</v>
      </c>
    </row>
    <row r="14" spans="1:8" x14ac:dyDescent="0.2">
      <c r="A14">
        <f t="shared" si="0"/>
        <v>0.83968260435568121</v>
      </c>
      <c r="B14">
        <v>114.79047300000001</v>
      </c>
      <c r="C14">
        <v>92.520120000000006</v>
      </c>
      <c r="D14">
        <f t="shared" si="1"/>
        <v>1.0808459824738663</v>
      </c>
      <c r="E14">
        <f t="shared" si="2"/>
        <v>8.0845982473866318E-2</v>
      </c>
      <c r="F14">
        <f t="shared" si="3"/>
        <v>0.50428702480441823</v>
      </c>
      <c r="G14">
        <f t="shared" si="4"/>
        <v>0.16031739564431879</v>
      </c>
      <c r="H14">
        <v>2200</v>
      </c>
    </row>
    <row r="15" spans="1:8" x14ac:dyDescent="0.2">
      <c r="A15">
        <f t="shared" si="0"/>
        <v>0.89092461116469701</v>
      </c>
      <c r="B15">
        <v>121.795613</v>
      </c>
      <c r="C15">
        <v>83.858969000000002</v>
      </c>
      <c r="D15">
        <f t="shared" si="1"/>
        <v>1.1924782905451652</v>
      </c>
      <c r="E15">
        <f t="shared" si="2"/>
        <v>0.19247829054516519</v>
      </c>
      <c r="F15">
        <f t="shared" si="3"/>
        <v>1.7646353829257979</v>
      </c>
      <c r="G15">
        <f t="shared" si="4"/>
        <v>0.10907538883530299</v>
      </c>
      <c r="H15">
        <v>2300</v>
      </c>
    </row>
    <row r="16" spans="1:8" x14ac:dyDescent="0.2">
      <c r="A16">
        <f>B16/$B$16</f>
        <v>1</v>
      </c>
      <c r="B16">
        <v>136.70697999999999</v>
      </c>
      <c r="C16">
        <v>100</v>
      </c>
      <c r="D16">
        <f>1/C16*100</f>
        <v>1</v>
      </c>
      <c r="E16">
        <f>D16-$D$16</f>
        <v>0</v>
      </c>
      <c r="F16">
        <f t="shared" si="3"/>
        <v>0</v>
      </c>
      <c r="G16">
        <f t="shared" si="4"/>
        <v>0</v>
      </c>
      <c r="H16">
        <v>2400</v>
      </c>
    </row>
  </sheetData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1CBB-20F0-7C46-83B1-7FDBC565404C}">
  <dimension ref="A1:G22"/>
  <sheetViews>
    <sheetView workbookViewId="0">
      <selection activeCell="F29" sqref="F29"/>
    </sheetView>
  </sheetViews>
  <sheetFormatPr baseColWidth="10" defaultColWidth="11" defaultRowHeight="16" x14ac:dyDescent="0.2"/>
  <cols>
    <col min="2" max="2" width="14.6640625" customWidth="1"/>
    <col min="3" max="3" width="16" customWidth="1"/>
    <col min="4" max="4" width="16.5" customWidth="1"/>
    <col min="5" max="5" width="14.1640625" customWidth="1"/>
    <col min="6" max="6" width="12.1640625" customWidth="1"/>
    <col min="7" max="7" width="17.832031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f>B2/$B$22</f>
        <v>0.31212302592200397</v>
      </c>
      <c r="B2">
        <v>90.266311584553904</v>
      </c>
      <c r="C2">
        <v>63.0287236066197</v>
      </c>
      <c r="D2">
        <f>1/C2*100</f>
        <v>1.586578218275982</v>
      </c>
      <c r="E2">
        <f>D2-$D$22</f>
        <v>0.58600189240290823</v>
      </c>
      <c r="F2">
        <f>IFERROR(E2/G2,0)</f>
        <v>0.85189927048853875</v>
      </c>
      <c r="G2">
        <f>$A$22-A2</f>
        <v>0.68787697407799597</v>
      </c>
    </row>
    <row r="3" spans="1:7" x14ac:dyDescent="0.2">
      <c r="A3">
        <f t="shared" ref="A3:A22" si="0">B3/$B$22</f>
        <v>0.34803628159675842</v>
      </c>
      <c r="B3">
        <v>100.65246338215699</v>
      </c>
      <c r="C3">
        <v>72.177515693361201</v>
      </c>
      <c r="D3">
        <f t="shared" ref="D3:D22" si="1">1/C3*100</f>
        <v>1.3854730110806222</v>
      </c>
      <c r="E3">
        <f t="shared" ref="E3:E22" si="2">D3-$D$22</f>
        <v>0.38489668520754838</v>
      </c>
      <c r="F3">
        <f t="shared" ref="F3:F22" si="3">IFERROR(E3/G3,0)</f>
        <v>0.59036519110330088</v>
      </c>
      <c r="G3">
        <f t="shared" ref="G3:G22" si="4">$A$22-A3</f>
        <v>0.65196371840324163</v>
      </c>
    </row>
    <row r="4" spans="1:7" x14ac:dyDescent="0.2">
      <c r="A4">
        <f t="shared" si="0"/>
        <v>0.38210783185229391</v>
      </c>
      <c r="B4">
        <v>110.50599201065199</v>
      </c>
      <c r="C4">
        <v>81.326003424006004</v>
      </c>
      <c r="D4">
        <f t="shared" si="1"/>
        <v>1.2296190122442654</v>
      </c>
      <c r="E4">
        <f t="shared" si="2"/>
        <v>0.22904268637119163</v>
      </c>
      <c r="F4">
        <f t="shared" si="3"/>
        <v>0.37068391246616245</v>
      </c>
      <c r="G4">
        <f t="shared" si="4"/>
        <v>0.61789216814770609</v>
      </c>
    </row>
    <row r="5" spans="1:7" x14ac:dyDescent="0.2">
      <c r="A5">
        <f t="shared" si="0"/>
        <v>0.4161793821078294</v>
      </c>
      <c r="B5">
        <v>120.35952063914699</v>
      </c>
      <c r="C5">
        <v>92.0744911546509</v>
      </c>
      <c r="D5">
        <f t="shared" si="1"/>
        <v>1.0860771397806284</v>
      </c>
      <c r="E5">
        <f t="shared" si="2"/>
        <v>8.5500813907554596E-2</v>
      </c>
      <c r="F5">
        <f t="shared" si="3"/>
        <v>0.14645048716547088</v>
      </c>
      <c r="G5">
        <f t="shared" si="4"/>
        <v>0.58382061789217055</v>
      </c>
    </row>
    <row r="6" spans="1:7" x14ac:dyDescent="0.2">
      <c r="A6">
        <f t="shared" si="0"/>
        <v>0.45209263778258701</v>
      </c>
      <c r="B6">
        <v>130.74567243675099</v>
      </c>
      <c r="C6">
        <v>90.137568955678105</v>
      </c>
      <c r="D6">
        <f t="shared" si="1"/>
        <v>1.1094153210319151</v>
      </c>
      <c r="E6">
        <f t="shared" si="2"/>
        <v>0.10883899515884132</v>
      </c>
      <c r="F6">
        <f t="shared" si="3"/>
        <v>0.19864488536595598</v>
      </c>
      <c r="G6">
        <f t="shared" si="4"/>
        <v>0.54790736221741299</v>
      </c>
    </row>
    <row r="7" spans="1:7" x14ac:dyDescent="0.2">
      <c r="A7">
        <f t="shared" si="0"/>
        <v>0.48432248261890382</v>
      </c>
      <c r="B7">
        <v>140.066577896138</v>
      </c>
      <c r="C7">
        <v>90.371466615940605</v>
      </c>
      <c r="D7">
        <f t="shared" si="1"/>
        <v>1.106543954022331</v>
      </c>
      <c r="E7">
        <f t="shared" si="2"/>
        <v>0.1059676281492572</v>
      </c>
      <c r="F7">
        <f t="shared" si="3"/>
        <v>0.20549204605122426</v>
      </c>
      <c r="G7">
        <f t="shared" si="4"/>
        <v>0.51567751738109613</v>
      </c>
    </row>
    <row r="8" spans="1:7" x14ac:dyDescent="0.2">
      <c r="A8">
        <f t="shared" si="0"/>
        <v>0.50458124223030254</v>
      </c>
      <c r="B8">
        <v>145.925432756324</v>
      </c>
      <c r="C8">
        <v>96.660528818717793</v>
      </c>
      <c r="D8">
        <f t="shared" si="1"/>
        <v>1.0345484472523963</v>
      </c>
      <c r="E8">
        <f t="shared" si="2"/>
        <v>3.3972121379322484E-2</v>
      </c>
      <c r="F8">
        <f t="shared" si="3"/>
        <v>6.8572537568540981E-2</v>
      </c>
      <c r="G8">
        <f t="shared" si="4"/>
        <v>0.49541875776969746</v>
      </c>
    </row>
    <row r="9" spans="1:7" x14ac:dyDescent="0.2">
      <c r="A9">
        <f t="shared" si="0"/>
        <v>0.5193148855840487</v>
      </c>
      <c r="B9">
        <v>150.186418109187</v>
      </c>
      <c r="C9">
        <v>101.805820810348</v>
      </c>
      <c r="D9">
        <f t="shared" si="1"/>
        <v>0.9822621064692163</v>
      </c>
      <c r="E9">
        <f t="shared" si="2"/>
        <v>-1.8314219403857468E-2</v>
      </c>
      <c r="F9">
        <f t="shared" si="3"/>
        <v>-3.8100242455208676E-2</v>
      </c>
      <c r="G9">
        <f t="shared" si="4"/>
        <v>0.4806851144159513</v>
      </c>
    </row>
    <row r="10" spans="1:7" x14ac:dyDescent="0.2">
      <c r="A10">
        <f t="shared" si="0"/>
        <v>0.55430728854919697</v>
      </c>
      <c r="B10">
        <v>160.306258322237</v>
      </c>
      <c r="C10">
        <v>103.41160357618401</v>
      </c>
      <c r="D10">
        <f t="shared" si="1"/>
        <v>0.96700947032824369</v>
      </c>
      <c r="E10">
        <f t="shared" si="2"/>
        <v>-3.3566855544830076E-2</v>
      </c>
      <c r="F10">
        <f t="shared" si="3"/>
        <v>-7.5313898303529456E-2</v>
      </c>
      <c r="G10">
        <f t="shared" si="4"/>
        <v>0.44569271145080303</v>
      </c>
    </row>
    <row r="11" spans="1:7" x14ac:dyDescent="0.2">
      <c r="A11">
        <f t="shared" si="0"/>
        <v>0.59114139693356049</v>
      </c>
      <c r="B11">
        <v>170.95872170439401</v>
      </c>
      <c r="C11">
        <v>101.24626212668799</v>
      </c>
      <c r="D11">
        <f t="shared" si="1"/>
        <v>0.98769078383231013</v>
      </c>
      <c r="E11">
        <f t="shared" si="2"/>
        <v>-1.2885542040763642E-2</v>
      </c>
      <c r="F11">
        <f t="shared" si="3"/>
        <v>-3.1515888241367744E-2</v>
      </c>
      <c r="G11">
        <f t="shared" si="4"/>
        <v>0.40885860306643951</v>
      </c>
    </row>
    <row r="12" spans="1:7" x14ac:dyDescent="0.2">
      <c r="A12">
        <f t="shared" si="0"/>
        <v>0.62429209447948664</v>
      </c>
      <c r="B12">
        <v>180.545938748335</v>
      </c>
      <c r="C12">
        <v>102.280311964999</v>
      </c>
      <c r="D12">
        <f t="shared" si="1"/>
        <v>0.97770526975143235</v>
      </c>
      <c r="E12">
        <f t="shared" si="2"/>
        <v>-2.287105612164142E-2</v>
      </c>
      <c r="F12">
        <f t="shared" si="3"/>
        <v>-6.0874567145334339E-2</v>
      </c>
      <c r="G12">
        <f t="shared" si="4"/>
        <v>0.37570790552051336</v>
      </c>
    </row>
    <row r="13" spans="1:7" x14ac:dyDescent="0.2">
      <c r="A13">
        <f t="shared" si="0"/>
        <v>0.66020535015424076</v>
      </c>
      <c r="B13">
        <v>190.932090545938</v>
      </c>
      <c r="C13">
        <v>101.486246908883</v>
      </c>
      <c r="D13">
        <f t="shared" si="1"/>
        <v>0.98535518896252605</v>
      </c>
      <c r="E13">
        <f t="shared" si="2"/>
        <v>-1.5221136910547717E-2</v>
      </c>
      <c r="F13">
        <f t="shared" si="3"/>
        <v>-4.4795104682951739E-2</v>
      </c>
      <c r="G13">
        <f t="shared" si="4"/>
        <v>0.33979464984575924</v>
      </c>
    </row>
    <row r="14" spans="1:7" x14ac:dyDescent="0.2">
      <c r="A14">
        <f t="shared" si="0"/>
        <v>0.69151434228095177</v>
      </c>
      <c r="B14">
        <v>199.98668442077201</v>
      </c>
      <c r="C14">
        <v>99.891420962526098</v>
      </c>
      <c r="D14">
        <f t="shared" si="1"/>
        <v>1.001086970596951</v>
      </c>
      <c r="E14">
        <f t="shared" si="2"/>
        <v>5.1064472387718496E-4</v>
      </c>
      <c r="F14">
        <f t="shared" si="3"/>
        <v>1.6553272772968008E-3</v>
      </c>
      <c r="G14">
        <f t="shared" si="4"/>
        <v>0.30848565771904823</v>
      </c>
    </row>
    <row r="15" spans="1:7" x14ac:dyDescent="0.2">
      <c r="A15">
        <f t="shared" si="0"/>
        <v>0.72834845066531517</v>
      </c>
      <c r="B15">
        <v>210.63914780292899</v>
      </c>
      <c r="C15">
        <v>102.983222370173</v>
      </c>
      <c r="D15">
        <f t="shared" si="1"/>
        <v>0.97103195742458126</v>
      </c>
      <c r="E15">
        <f t="shared" si="2"/>
        <v>-2.9544368448492508E-2</v>
      </c>
      <c r="F15">
        <f t="shared" si="3"/>
        <v>-0.10875832853098417</v>
      </c>
      <c r="G15">
        <f t="shared" si="4"/>
        <v>0.27165154933468483</v>
      </c>
    </row>
    <row r="16" spans="1:7" x14ac:dyDescent="0.2">
      <c r="A16">
        <f t="shared" si="0"/>
        <v>0.76149914821124143</v>
      </c>
      <c r="B16">
        <v>220.22636484687001</v>
      </c>
      <c r="C16">
        <v>100.931557922769</v>
      </c>
      <c r="D16">
        <f t="shared" si="1"/>
        <v>0.99077039984380499</v>
      </c>
      <c r="E16">
        <f t="shared" si="2"/>
        <v>-9.8059260292687744E-3</v>
      </c>
      <c r="F16">
        <f t="shared" si="3"/>
        <v>-4.1114846994147983E-2</v>
      </c>
      <c r="G16">
        <f t="shared" si="4"/>
        <v>0.23850085178875857</v>
      </c>
    </row>
    <row r="17" spans="1:7" x14ac:dyDescent="0.2">
      <c r="A17">
        <f t="shared" si="0"/>
        <v>0.7964915511763897</v>
      </c>
      <c r="B17">
        <v>230.34620505992001</v>
      </c>
      <c r="C17">
        <v>100.48019783146199</v>
      </c>
      <c r="D17">
        <f t="shared" si="1"/>
        <v>0.99522097048149283</v>
      </c>
      <c r="E17">
        <f t="shared" si="2"/>
        <v>-5.3553553915809404E-3</v>
      </c>
      <c r="F17">
        <f t="shared" si="3"/>
        <v>-2.6315150169625941E-2</v>
      </c>
      <c r="G17">
        <f t="shared" si="4"/>
        <v>0.2035084488236103</v>
      </c>
    </row>
    <row r="18" spans="1:7" x14ac:dyDescent="0.2">
      <c r="A18">
        <f t="shared" si="0"/>
        <v>0.83240480685114382</v>
      </c>
      <c r="B18">
        <v>240.732356857523</v>
      </c>
      <c r="C18">
        <v>101.400418489632</v>
      </c>
      <c r="D18">
        <f t="shared" si="1"/>
        <v>0.98618922376760032</v>
      </c>
      <c r="E18">
        <f t="shared" si="2"/>
        <v>-1.4387102105473448E-2</v>
      </c>
      <c r="F18">
        <f t="shared" si="3"/>
        <v>-8.5844360062850872E-2</v>
      </c>
      <c r="G18">
        <f t="shared" si="4"/>
        <v>0.16759519314885618</v>
      </c>
    </row>
    <row r="19" spans="1:7" x14ac:dyDescent="0.2">
      <c r="A19">
        <f t="shared" si="0"/>
        <v>0.89686449652378086</v>
      </c>
      <c r="B19">
        <v>259.37416777629801</v>
      </c>
      <c r="C19">
        <v>101.639642381586</v>
      </c>
      <c r="D19">
        <f t="shared" si="1"/>
        <v>0.98386808194945941</v>
      </c>
      <c r="E19">
        <f t="shared" si="2"/>
        <v>-1.6708243923614363E-2</v>
      </c>
      <c r="F19">
        <f t="shared" si="3"/>
        <v>-0.16200283472186597</v>
      </c>
      <c r="G19">
        <f t="shared" si="4"/>
        <v>0.10313550347621914</v>
      </c>
    </row>
    <row r="20" spans="1:7" x14ac:dyDescent="0.2">
      <c r="A20">
        <f t="shared" si="0"/>
        <v>0.93830286845619115</v>
      </c>
      <c r="B20">
        <v>271.35818908122502</v>
      </c>
      <c r="C20">
        <v>101.760776108046</v>
      </c>
      <c r="D20">
        <f t="shared" si="1"/>
        <v>0.98269690763584128</v>
      </c>
      <c r="E20">
        <f t="shared" si="2"/>
        <v>-1.7879418237232492E-2</v>
      </c>
      <c r="F20">
        <f t="shared" si="3"/>
        <v>-0.28979334678690821</v>
      </c>
      <c r="G20">
        <f t="shared" si="4"/>
        <v>6.1697131543808847E-2</v>
      </c>
    </row>
    <row r="21" spans="1:7" x14ac:dyDescent="0.2">
      <c r="A21">
        <f t="shared" si="0"/>
        <v>0.9714535660021173</v>
      </c>
      <c r="B21">
        <v>280.94540612516602</v>
      </c>
      <c r="C21">
        <v>101.766254517785</v>
      </c>
      <c r="D21">
        <f t="shared" si="1"/>
        <v>0.98264400585288003</v>
      </c>
      <c r="E21">
        <f t="shared" si="2"/>
        <v>-1.7932320020193737E-2</v>
      </c>
      <c r="F21">
        <f t="shared" si="3"/>
        <v>-0.62818073954609466</v>
      </c>
      <c r="G21">
        <f t="shared" si="4"/>
        <v>2.8546433997882703E-2</v>
      </c>
    </row>
    <row r="22" spans="1:7" x14ac:dyDescent="0.2">
      <c r="A22">
        <f t="shared" si="0"/>
        <v>1</v>
      </c>
      <c r="B22">
        <v>289.20106524633798</v>
      </c>
      <c r="C22">
        <v>99.942400608712106</v>
      </c>
      <c r="D22">
        <f t="shared" si="1"/>
        <v>1.0005763258730738</v>
      </c>
      <c r="E22">
        <f t="shared" si="2"/>
        <v>0</v>
      </c>
      <c r="F22">
        <f t="shared" si="3"/>
        <v>0</v>
      </c>
      <c r="G22">
        <f t="shared" si="4"/>
        <v>0</v>
      </c>
    </row>
  </sheetData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1051-F995-914C-8EAE-FF988C233AE2}">
  <dimension ref="A1:E19"/>
  <sheetViews>
    <sheetView workbookViewId="0">
      <selection activeCell="C2" sqref="C2"/>
    </sheetView>
  </sheetViews>
  <sheetFormatPr baseColWidth="10" defaultColWidth="11" defaultRowHeight="16" x14ac:dyDescent="0.2"/>
  <sheetData>
    <row r="1" spans="1:5" x14ac:dyDescent="0.2">
      <c r="A1" t="s">
        <v>1</v>
      </c>
      <c r="B1" t="s">
        <v>10</v>
      </c>
      <c r="C1" t="s">
        <v>7</v>
      </c>
      <c r="D1" t="s">
        <v>8</v>
      </c>
      <c r="E1" t="s">
        <v>9</v>
      </c>
    </row>
    <row r="2" spans="1:5" x14ac:dyDescent="0.2">
      <c r="A2">
        <v>89.950509289999999</v>
      </c>
      <c r="B2">
        <v>44.195458700000003</v>
      </c>
      <c r="C2">
        <v>3183.3026220000002</v>
      </c>
      <c r="D2">
        <v>15.954778989999999</v>
      </c>
      <c r="E2">
        <v>199.52032080000001</v>
      </c>
    </row>
    <row r="3" spans="1:5" x14ac:dyDescent="0.2">
      <c r="A3">
        <v>100.6070861</v>
      </c>
      <c r="B3">
        <v>53.465026559999998</v>
      </c>
      <c r="C3">
        <v>2223.2353069999999</v>
      </c>
      <c r="D3">
        <v>11.77163631</v>
      </c>
      <c r="E3">
        <v>188.863744</v>
      </c>
    </row>
    <row r="4" spans="1:5" x14ac:dyDescent="0.2">
      <c r="A4">
        <v>110.9870224</v>
      </c>
      <c r="B4">
        <v>61.411119759999998</v>
      </c>
      <c r="C4">
        <v>1537.0401039999999</v>
      </c>
      <c r="D4">
        <v>8.6116501220000004</v>
      </c>
      <c r="E4">
        <v>178.4838077</v>
      </c>
    </row>
    <row r="5" spans="1:5" x14ac:dyDescent="0.2">
      <c r="A5">
        <v>119.6889276</v>
      </c>
      <c r="B5">
        <v>66.589286319999999</v>
      </c>
      <c r="C5">
        <v>1157.832406</v>
      </c>
      <c r="D5">
        <v>6.8195278129999997</v>
      </c>
      <c r="E5">
        <v>169.7819025</v>
      </c>
    </row>
    <row r="6" spans="1:5" x14ac:dyDescent="0.2">
      <c r="A6">
        <v>137.67478259999999</v>
      </c>
      <c r="B6">
        <v>71.412134949999995</v>
      </c>
      <c r="C6">
        <v>852.87874720000002</v>
      </c>
      <c r="D6">
        <v>5.618583364</v>
      </c>
      <c r="E6">
        <v>151.79604749999999</v>
      </c>
    </row>
    <row r="7" spans="1:5" x14ac:dyDescent="0.2">
      <c r="A7">
        <v>156.2164563</v>
      </c>
      <c r="B7">
        <v>78.160129940000004</v>
      </c>
      <c r="C7">
        <v>504.27610650000003</v>
      </c>
      <c r="D7">
        <v>3.7843118549999999</v>
      </c>
      <c r="E7">
        <v>133.2543738</v>
      </c>
    </row>
    <row r="8" spans="1:5" x14ac:dyDescent="0.2">
      <c r="A8">
        <v>170.2595513</v>
      </c>
      <c r="B8">
        <v>84.303915270000005</v>
      </c>
      <c r="C8">
        <v>266.09137700000002</v>
      </c>
      <c r="D8">
        <v>2.2320990059999999</v>
      </c>
      <c r="E8">
        <v>119.2112788</v>
      </c>
    </row>
    <row r="9" spans="1:5" x14ac:dyDescent="0.2">
      <c r="A9">
        <v>180.65090860000001</v>
      </c>
      <c r="B9">
        <v>89.00189503</v>
      </c>
      <c r="C9">
        <v>134.89260949999999</v>
      </c>
      <c r="D9">
        <v>1.239594807</v>
      </c>
      <c r="E9">
        <v>108.81992150000001</v>
      </c>
    </row>
    <row r="10" spans="1:5" x14ac:dyDescent="0.2">
      <c r="A10">
        <v>192.18435919999999</v>
      </c>
      <c r="B10">
        <v>88.888531689999994</v>
      </c>
      <c r="C10">
        <v>137.5387388</v>
      </c>
      <c r="D10">
        <v>1.413749903</v>
      </c>
      <c r="E10">
        <v>97.286470899999998</v>
      </c>
    </row>
    <row r="11" spans="1:5" x14ac:dyDescent="0.2">
      <c r="A11">
        <v>200.3418666</v>
      </c>
      <c r="B11">
        <v>88.893438459999999</v>
      </c>
      <c r="C11">
        <v>137.4236727</v>
      </c>
      <c r="D11">
        <v>1.5418520229999999</v>
      </c>
      <c r="E11">
        <v>89.128963499999998</v>
      </c>
    </row>
    <row r="12" spans="1:5" x14ac:dyDescent="0.2">
      <c r="A12">
        <v>209.88765190000001</v>
      </c>
      <c r="B12">
        <v>94.072112619999999</v>
      </c>
      <c r="C12">
        <v>42.825378049999998</v>
      </c>
      <c r="D12">
        <v>0.538120983</v>
      </c>
      <c r="E12">
        <v>79.583178200000006</v>
      </c>
    </row>
    <row r="13" spans="1:5" x14ac:dyDescent="0.2">
      <c r="A13">
        <v>219.73313089999999</v>
      </c>
      <c r="B13">
        <v>94.017884339999995</v>
      </c>
      <c r="C13">
        <v>43.538070429999998</v>
      </c>
      <c r="D13">
        <v>0.62431182699999999</v>
      </c>
      <c r="E13">
        <v>69.737699199999994</v>
      </c>
    </row>
    <row r="14" spans="1:5" x14ac:dyDescent="0.2">
      <c r="A14">
        <v>230.40176310000001</v>
      </c>
      <c r="B14">
        <v>99.858888019999995</v>
      </c>
      <c r="C14">
        <v>0.57355596900000005</v>
      </c>
      <c r="D14">
        <v>9.7099209999999998E-3</v>
      </c>
      <c r="E14">
        <v>59.069066999999997</v>
      </c>
    </row>
    <row r="15" spans="1:5" x14ac:dyDescent="0.2">
      <c r="A15">
        <v>241.9356367</v>
      </c>
      <c r="B15">
        <v>99.625224189999997</v>
      </c>
      <c r="C15">
        <v>0.98207824499999996</v>
      </c>
      <c r="D15">
        <v>2.0660023999999999E-2</v>
      </c>
      <c r="E15">
        <v>47.535193399999997</v>
      </c>
    </row>
    <row r="16" spans="1:5" x14ac:dyDescent="0.2">
      <c r="A16">
        <v>258.81112309999997</v>
      </c>
      <c r="B16">
        <v>100.2368786</v>
      </c>
      <c r="C16">
        <v>0.14390202199999999</v>
      </c>
      <c r="D16">
        <v>4.6935220000000003E-3</v>
      </c>
      <c r="E16">
        <v>30.659707000000001</v>
      </c>
    </row>
    <row r="17" spans="1:5" x14ac:dyDescent="0.2">
      <c r="A17">
        <v>269.78367909999997</v>
      </c>
      <c r="B17">
        <v>99.64197489</v>
      </c>
      <c r="C17">
        <v>0.94915899000000004</v>
      </c>
      <c r="D17">
        <v>4.8212104999999998E-2</v>
      </c>
      <c r="E17">
        <v>19.687151</v>
      </c>
    </row>
    <row r="18" spans="1:5" x14ac:dyDescent="0.2">
      <c r="A18">
        <v>279.46461199999999</v>
      </c>
      <c r="B18">
        <v>100</v>
      </c>
      <c r="C18">
        <v>0.37973053899999998</v>
      </c>
      <c r="D18">
        <v>3.7949456999999999E-2</v>
      </c>
      <c r="E18">
        <v>10.0062181</v>
      </c>
    </row>
    <row r="19" spans="1:5" x14ac:dyDescent="0.2">
      <c r="A19">
        <v>289.4708301</v>
      </c>
      <c r="B19">
        <v>100.6162228</v>
      </c>
      <c r="C19">
        <v>0</v>
      </c>
      <c r="E1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58CC-0796-9B4C-A063-C58FA61FB692}">
  <dimension ref="A1:E17"/>
  <sheetViews>
    <sheetView workbookViewId="0">
      <selection activeCell="A2" sqref="A2:B17"/>
    </sheetView>
  </sheetViews>
  <sheetFormatPr baseColWidth="10" defaultColWidth="11" defaultRowHeight="16" x14ac:dyDescent="0.2"/>
  <sheetData>
    <row r="1" spans="1:5" x14ac:dyDescent="0.2">
      <c r="A1" t="s">
        <v>1</v>
      </c>
      <c r="B1" t="s">
        <v>6</v>
      </c>
      <c r="C1" t="s">
        <v>7</v>
      </c>
      <c r="D1" t="s">
        <v>8</v>
      </c>
      <c r="E1" t="s">
        <v>9</v>
      </c>
    </row>
    <row r="2" spans="1:5" x14ac:dyDescent="0.2">
      <c r="A2">
        <v>89.975889140000007</v>
      </c>
      <c r="B2">
        <v>36.977428850000003</v>
      </c>
      <c r="C2">
        <v>4034.6205049999999</v>
      </c>
      <c r="D2">
        <v>20.195655290000001</v>
      </c>
      <c r="E2">
        <v>199.77665730000001</v>
      </c>
    </row>
    <row r="3" spans="1:5" x14ac:dyDescent="0.2">
      <c r="A3">
        <v>100.3452506</v>
      </c>
      <c r="B3">
        <v>47.931034480000001</v>
      </c>
      <c r="C3">
        <v>2763.0852199999999</v>
      </c>
      <c r="D3">
        <v>14.58806118</v>
      </c>
      <c r="E3">
        <v>189.40729590000001</v>
      </c>
    </row>
    <row r="4" spans="1:5" x14ac:dyDescent="0.2">
      <c r="A4">
        <v>113.8223749</v>
      </c>
      <c r="B4">
        <v>55.036885380000001</v>
      </c>
      <c r="C4">
        <v>2066.5394209999999</v>
      </c>
      <c r="D4">
        <v>11.746361650000001</v>
      </c>
      <c r="E4">
        <v>175.93017159999999</v>
      </c>
    </row>
    <row r="5" spans="1:5" x14ac:dyDescent="0.2">
      <c r="A5">
        <v>120.8415959</v>
      </c>
      <c r="B5">
        <v>58.770430779999998</v>
      </c>
      <c r="C5">
        <v>1741.030763</v>
      </c>
      <c r="D5">
        <v>10.307388339999999</v>
      </c>
      <c r="E5">
        <v>168.91095060000001</v>
      </c>
    </row>
    <row r="6" spans="1:5" x14ac:dyDescent="0.2">
      <c r="A6">
        <v>142.47030559999999</v>
      </c>
      <c r="B6">
        <v>67.565395420000002</v>
      </c>
      <c r="C6">
        <v>1084.4307449999999</v>
      </c>
      <c r="D6">
        <v>7.3629430009999997</v>
      </c>
      <c r="E6">
        <v>147.28224090000001</v>
      </c>
    </row>
    <row r="7" spans="1:5" x14ac:dyDescent="0.2">
      <c r="A7">
        <v>164.09901529999999</v>
      </c>
      <c r="B7">
        <v>76.360360060000005</v>
      </c>
      <c r="C7">
        <v>582.53353249999998</v>
      </c>
      <c r="D7">
        <v>4.6360299390000002</v>
      </c>
      <c r="E7">
        <v>125.6535312</v>
      </c>
    </row>
    <row r="8" spans="1:5" x14ac:dyDescent="0.2">
      <c r="A8">
        <v>179.55153799999999</v>
      </c>
      <c r="B8">
        <v>81.662887889999993</v>
      </c>
      <c r="C8">
        <v>354.68955840000001</v>
      </c>
      <c r="D8">
        <v>3.2185690810000001</v>
      </c>
      <c r="E8">
        <v>110.20100840000001</v>
      </c>
    </row>
    <row r="9" spans="1:5" x14ac:dyDescent="0.2">
      <c r="A9">
        <v>200.91502829999999</v>
      </c>
      <c r="B9">
        <v>85.886264420000003</v>
      </c>
      <c r="C9">
        <v>213.44704730000001</v>
      </c>
      <c r="D9">
        <v>2.4026678320000001</v>
      </c>
      <c r="E9">
        <v>88.837518189999997</v>
      </c>
    </row>
    <row r="10" spans="1:5" x14ac:dyDescent="0.2">
      <c r="A10">
        <v>210.18544209999999</v>
      </c>
      <c r="B10">
        <v>89.380562420000004</v>
      </c>
      <c r="C10">
        <v>123.55498679999999</v>
      </c>
      <c r="D10">
        <v>1.5528400570000001</v>
      </c>
      <c r="E10">
        <v>79.567104330000006</v>
      </c>
    </row>
    <row r="11" spans="1:5" x14ac:dyDescent="0.2">
      <c r="A11">
        <v>220.5886434</v>
      </c>
      <c r="B11">
        <v>90.710128249999997</v>
      </c>
      <c r="C11">
        <v>95.765076730000004</v>
      </c>
      <c r="D11">
        <v>1.3846106490000001</v>
      </c>
      <c r="E11">
        <v>69.163903079999997</v>
      </c>
    </row>
    <row r="12" spans="1:5" x14ac:dyDescent="0.2">
      <c r="A12">
        <v>230.14373459999999</v>
      </c>
      <c r="B12">
        <v>93.242191469999995</v>
      </c>
      <c r="C12">
        <v>52.619065749999997</v>
      </c>
      <c r="D12">
        <v>0.88273971699999998</v>
      </c>
      <c r="E12">
        <v>59.608811879999998</v>
      </c>
    </row>
    <row r="13" spans="1:5" x14ac:dyDescent="0.2">
      <c r="A13">
        <v>239.70855470000001</v>
      </c>
      <c r="B13">
        <v>93.007343239999997</v>
      </c>
      <c r="C13">
        <v>56.08135059</v>
      </c>
      <c r="D13">
        <v>1.1206410330000001</v>
      </c>
      <c r="E13">
        <v>50.043991740000003</v>
      </c>
    </row>
    <row r="14" spans="1:5" x14ac:dyDescent="0.2">
      <c r="A14">
        <v>252.6370512</v>
      </c>
      <c r="B14">
        <v>96.142939330000004</v>
      </c>
      <c r="C14">
        <v>18.94993388</v>
      </c>
      <c r="D14">
        <v>0.51056664500000004</v>
      </c>
      <c r="E14">
        <v>37.115495250000002</v>
      </c>
    </row>
    <row r="15" spans="1:5" x14ac:dyDescent="0.2">
      <c r="A15">
        <v>269.78790900000001</v>
      </c>
      <c r="B15">
        <v>98.438969920000005</v>
      </c>
      <c r="C15">
        <v>4.2317492210000003</v>
      </c>
      <c r="D15">
        <v>0.211962238</v>
      </c>
      <c r="E15">
        <v>19.964637410000002</v>
      </c>
    </row>
    <row r="16" spans="1:5" x14ac:dyDescent="0.2">
      <c r="A16">
        <v>280.47747959999998</v>
      </c>
      <c r="B16">
        <v>98.325098980000007</v>
      </c>
      <c r="C16">
        <v>4.713208528</v>
      </c>
      <c r="D16">
        <v>0.50815898299999995</v>
      </c>
      <c r="E16">
        <v>9.2750668340000004</v>
      </c>
    </row>
    <row r="17" spans="1:5" x14ac:dyDescent="0.2">
      <c r="A17">
        <v>289.75254640000003</v>
      </c>
      <c r="B17">
        <v>100.49609150000001</v>
      </c>
      <c r="C17">
        <v>0</v>
      </c>
      <c r="E1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62D93-16FF-6A4F-83BF-87D1C92809BA}">
  <dimension ref="A1:B18"/>
  <sheetViews>
    <sheetView workbookViewId="0"/>
  </sheetViews>
  <sheetFormatPr baseColWidth="10" defaultColWidth="11" defaultRowHeight="16" x14ac:dyDescent="0.2"/>
  <sheetData>
    <row r="1" spans="1:2" x14ac:dyDescent="0.2">
      <c r="A1">
        <v>90.438801725346494</v>
      </c>
      <c r="B1">
        <v>84.5605701145072</v>
      </c>
    </row>
    <row r="2" spans="1:2" x14ac:dyDescent="0.2">
      <c r="A2">
        <v>98.545162893760804</v>
      </c>
      <c r="B2">
        <v>88.349632116644699</v>
      </c>
    </row>
    <row r="3" spans="1:2" x14ac:dyDescent="0.2">
      <c r="A3">
        <v>110.580347144966</v>
      </c>
      <c r="B3">
        <v>95.930086686100097</v>
      </c>
    </row>
    <row r="4" spans="1:2" x14ac:dyDescent="0.2">
      <c r="A4">
        <v>120.761639625434</v>
      </c>
      <c r="B4">
        <v>95.478102701452698</v>
      </c>
    </row>
    <row r="5" spans="1:2" x14ac:dyDescent="0.2">
      <c r="A5">
        <v>130.17530219965201</v>
      </c>
      <c r="B5">
        <v>99.824315441997101</v>
      </c>
    </row>
    <row r="6" spans="1:2" x14ac:dyDescent="0.2">
      <c r="A6">
        <v>140.62206062018501</v>
      </c>
      <c r="B6">
        <v>100.711095493087</v>
      </c>
    </row>
    <row r="7" spans="1:2" x14ac:dyDescent="0.2">
      <c r="A7">
        <v>150.80007574336801</v>
      </c>
      <c r="B7">
        <v>99.254929236393906</v>
      </c>
    </row>
    <row r="8" spans="1:2" x14ac:dyDescent="0.2">
      <c r="A8">
        <v>160.471192939844</v>
      </c>
      <c r="B8">
        <v>102.48523823656301</v>
      </c>
    </row>
    <row r="9" spans="1:2" x14ac:dyDescent="0.2">
      <c r="A9">
        <v>170.65649107921499</v>
      </c>
      <c r="B9">
        <v>103.260588139972</v>
      </c>
    </row>
    <row r="10" spans="1:2" x14ac:dyDescent="0.2">
      <c r="A10">
        <v>182.40290373855399</v>
      </c>
      <c r="B10">
        <v>102.361426961361</v>
      </c>
    </row>
    <row r="11" spans="1:2" x14ac:dyDescent="0.2">
      <c r="A11">
        <v>200.41453107389799</v>
      </c>
      <c r="B11">
        <v>101.124042510965</v>
      </c>
    </row>
    <row r="12" spans="1:2" x14ac:dyDescent="0.2">
      <c r="A12">
        <v>211.12384222802001</v>
      </c>
      <c r="B12">
        <v>102.456980133752</v>
      </c>
    </row>
    <row r="13" spans="1:2" x14ac:dyDescent="0.2">
      <c r="A13">
        <v>230.43694455621801</v>
      </c>
      <c r="B13">
        <v>99.991533493681004</v>
      </c>
    </row>
    <row r="14" spans="1:2" x14ac:dyDescent="0.2">
      <c r="A14">
        <v>240.88843693727301</v>
      </c>
      <c r="B14">
        <v>102.32879904883799</v>
      </c>
    </row>
    <row r="15" spans="1:2" x14ac:dyDescent="0.2">
      <c r="A15">
        <v>250.81118234305501</v>
      </c>
      <c r="B15">
        <v>102.65799138055</v>
      </c>
    </row>
    <row r="16" spans="1:2" x14ac:dyDescent="0.2">
      <c r="A16">
        <v>262.298683776899</v>
      </c>
      <c r="B16">
        <v>102.42843071029399</v>
      </c>
    </row>
    <row r="17" spans="1:2" x14ac:dyDescent="0.2">
      <c r="A17">
        <v>278.48300235059298</v>
      </c>
      <c r="B17">
        <v>101.303641690169</v>
      </c>
    </row>
    <row r="18" spans="1:2" x14ac:dyDescent="0.2">
      <c r="A18">
        <v>289.70649444761</v>
      </c>
      <c r="B18">
        <v>100.18162021619599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0987-65F8-5440-830D-42041B7FD317}">
  <dimension ref="A1:B14"/>
  <sheetViews>
    <sheetView workbookViewId="0"/>
  </sheetViews>
  <sheetFormatPr baseColWidth="10" defaultColWidth="11" defaultRowHeight="16" x14ac:dyDescent="0.2"/>
  <sheetData>
    <row r="1" spans="1:2" x14ac:dyDescent="0.2">
      <c r="A1">
        <v>90.454824360960799</v>
      </c>
      <c r="B1">
        <v>89.469905666732799</v>
      </c>
    </row>
    <row r="2" spans="1:2" x14ac:dyDescent="0.2">
      <c r="A2">
        <v>100.93253560029299</v>
      </c>
      <c r="B2">
        <v>99.840629398258997</v>
      </c>
    </row>
    <row r="3" spans="1:2" x14ac:dyDescent="0.2">
      <c r="A3">
        <v>112.159669205404</v>
      </c>
      <c r="B3">
        <v>99.834366004336999</v>
      </c>
    </row>
    <row r="4" spans="1:2" x14ac:dyDescent="0.2">
      <c r="A4">
        <v>137.74599752741599</v>
      </c>
      <c r="B4">
        <v>99.485363868592501</v>
      </c>
    </row>
    <row r="5" spans="1:2" x14ac:dyDescent="0.2">
      <c r="A5">
        <v>160.98391727950201</v>
      </c>
      <c r="B5">
        <v>99.583975907782403</v>
      </c>
    </row>
    <row r="6" spans="1:2" x14ac:dyDescent="0.2">
      <c r="A6">
        <v>170.91212494742501</v>
      </c>
      <c r="B6">
        <v>101.586805359571</v>
      </c>
    </row>
    <row r="7" spans="1:2" x14ac:dyDescent="0.2">
      <c r="A7">
        <v>181.08904761817999</v>
      </c>
      <c r="B7">
        <v>99.795911678862595</v>
      </c>
    </row>
    <row r="8" spans="1:2" x14ac:dyDescent="0.2">
      <c r="A8">
        <v>200.67125739453701</v>
      </c>
      <c r="B8">
        <v>99.784987154580193</v>
      </c>
    </row>
    <row r="9" spans="1:2" x14ac:dyDescent="0.2">
      <c r="A9">
        <v>210.32125384406601</v>
      </c>
      <c r="B9">
        <v>96.543899290452103</v>
      </c>
    </row>
    <row r="10" spans="1:2" x14ac:dyDescent="0.2">
      <c r="A10">
        <v>221.299308295537</v>
      </c>
      <c r="B10">
        <v>100.21978322102299</v>
      </c>
    </row>
    <row r="11" spans="1:2" x14ac:dyDescent="0.2">
      <c r="A11">
        <v>244.79577512230901</v>
      </c>
      <c r="B11">
        <v>99.537218943853404</v>
      </c>
    </row>
    <row r="12" spans="1:2" x14ac:dyDescent="0.2">
      <c r="A12">
        <v>261.24592378687697</v>
      </c>
      <c r="B12">
        <v>99.862769767471505</v>
      </c>
    </row>
    <row r="13" spans="1:2" x14ac:dyDescent="0.2">
      <c r="A13">
        <v>280.30557715172102</v>
      </c>
      <c r="B13">
        <v>99.740560755831396</v>
      </c>
    </row>
    <row r="14" spans="1:2" x14ac:dyDescent="0.2">
      <c r="A14">
        <v>289.96686227634302</v>
      </c>
      <c r="B14">
        <v>99.958322939862299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C1098-3140-1445-8A34-58E60970723E}">
  <dimension ref="A1:B16"/>
  <sheetViews>
    <sheetView workbookViewId="0"/>
  </sheetViews>
  <sheetFormatPr baseColWidth="10" defaultColWidth="11" defaultRowHeight="16" x14ac:dyDescent="0.2"/>
  <sheetData>
    <row r="1" spans="1:2" x14ac:dyDescent="0.2">
      <c r="A1">
        <v>90.455552662579606</v>
      </c>
      <c r="B1">
        <v>89.693057282742998</v>
      </c>
    </row>
    <row r="2" spans="1:2" x14ac:dyDescent="0.2">
      <c r="A2">
        <v>100.673624374798</v>
      </c>
      <c r="B2">
        <v>100.51022990661301</v>
      </c>
    </row>
    <row r="3" spans="1:2" x14ac:dyDescent="0.2">
      <c r="A3">
        <v>111.11965449371201</v>
      </c>
      <c r="B3">
        <v>101.17385834169301</v>
      </c>
    </row>
    <row r="4" spans="1:2" x14ac:dyDescent="0.2">
      <c r="A4">
        <v>120.515473678269</v>
      </c>
      <c r="B4">
        <v>100.052856489986</v>
      </c>
    </row>
    <row r="5" spans="1:2" x14ac:dyDescent="0.2">
      <c r="A5">
        <v>131.22259992753399</v>
      </c>
      <c r="B5">
        <v>100.716339264743</v>
      </c>
    </row>
    <row r="6" spans="1:2" x14ac:dyDescent="0.2">
      <c r="A6">
        <v>139.83513072103599</v>
      </c>
      <c r="B6">
        <v>99.595774394007506</v>
      </c>
    </row>
    <row r="7" spans="1:2" x14ac:dyDescent="0.2">
      <c r="A7">
        <v>160.20572699977899</v>
      </c>
      <c r="B7">
        <v>101.146474200825</v>
      </c>
    </row>
    <row r="8" spans="1:2" x14ac:dyDescent="0.2">
      <c r="A8">
        <v>170.906662685284</v>
      </c>
      <c r="B8">
        <v>99.913168239494695</v>
      </c>
    </row>
    <row r="9" spans="1:2" x14ac:dyDescent="0.2">
      <c r="A9">
        <v>182.13525289363301</v>
      </c>
      <c r="B9">
        <v>100.353208077593</v>
      </c>
    </row>
    <row r="10" spans="1:2" x14ac:dyDescent="0.2">
      <c r="A10">
        <v>182.13525289363301</v>
      </c>
      <c r="B10">
        <v>100.353208077593</v>
      </c>
    </row>
    <row r="11" spans="1:2" x14ac:dyDescent="0.2">
      <c r="A11">
        <v>203.54367897921199</v>
      </c>
      <c r="B11">
        <v>99.894960699023898</v>
      </c>
    </row>
    <row r="12" spans="1:2" x14ac:dyDescent="0.2">
      <c r="A12">
        <v>223.908812995814</v>
      </c>
      <c r="B12">
        <v>99.772023385764896</v>
      </c>
    </row>
    <row r="13" spans="1:2" x14ac:dyDescent="0.2">
      <c r="A13">
        <v>250.01879018176501</v>
      </c>
      <c r="B13">
        <v>99.869033161393403</v>
      </c>
    </row>
    <row r="14" spans="1:2" x14ac:dyDescent="0.2">
      <c r="A14">
        <v>262.55286104187098</v>
      </c>
      <c r="B14">
        <v>100.308344697873</v>
      </c>
    </row>
    <row r="15" spans="1:2" x14ac:dyDescent="0.2">
      <c r="A15">
        <v>279.00337385724902</v>
      </c>
      <c r="B15">
        <v>100.745471329496</v>
      </c>
    </row>
    <row r="16" spans="1:2" x14ac:dyDescent="0.2">
      <c r="A16">
        <v>289.96686227634302</v>
      </c>
      <c r="B16">
        <v>99.958322939862299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comd</vt:lpstr>
      <vt:lpstr>xsbench</vt:lpstr>
      <vt:lpstr>minimd</vt:lpstr>
      <vt:lpstr>hpccg</vt:lpstr>
      <vt:lpstr>minife</vt:lpstr>
      <vt:lpstr>swfft</vt:lpstr>
      <vt:lpstr>simple_moc</vt:lpstr>
      <vt:lpstr>rsbench</vt:lpstr>
      <vt:lpstr>aspa</vt:lpstr>
      <vt:lpstr>cohmm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Bin Rahim, Imtiaz</cp:lastModifiedBy>
  <cp:revision/>
  <dcterms:created xsi:type="dcterms:W3CDTF">2021-07-13T15:36:02Z</dcterms:created>
  <dcterms:modified xsi:type="dcterms:W3CDTF">2026-03-10T20:24:37Z</dcterms:modified>
  <cp:category/>
  <cp:contentStatus/>
</cp:coreProperties>
</file>