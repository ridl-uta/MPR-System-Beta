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mtiazevan/Desktop/Projects/temp/MPR_System_Beta/job_scheduler/data/"/>
    </mc:Choice>
  </mc:AlternateContent>
  <xr:revisionPtr revIDLastSave="0" documentId="13_ncr:1_{FE5ED296-985F-6D4E-A817-B68352A96310}" xr6:coauthVersionLast="47" xr6:coauthVersionMax="47" xr10:uidLastSave="{00000000-0000-0000-0000-000000000000}"/>
  <bookViews>
    <workbookView xWindow="1080" yWindow="500" windowWidth="28800" windowHeight="16300" xr2:uid="{15444B7F-6FA5-5E4D-9AAE-4CEB8B7D2F02}"/>
  </bookViews>
  <sheets>
    <sheet name="hpcg" sheetId="13" r:id="rId1"/>
    <sheet name="comd" sheetId="2" r:id="rId2"/>
    <sheet name="xsbench" sheetId="7" r:id="rId3"/>
    <sheet name="minimd" sheetId="12" r:id="rId4"/>
    <sheet name="minife" sheetId="6" r:id="rId5"/>
    <sheet name="swfft" sheetId="5" r:id="rId6"/>
    <sheet name="simple_moc" sheetId="4" r:id="rId7"/>
    <sheet name="rsbench" sheetId="9" r:id="rId8"/>
    <sheet name="aspa" sheetId="10" r:id="rId9"/>
    <sheet name="cohmm" sheetId="11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3" l="1"/>
  <c r="D7" i="13"/>
  <c r="D6" i="13"/>
  <c r="D5" i="13"/>
  <c r="A9" i="13"/>
  <c r="G9" i="13" s="1"/>
  <c r="D2" i="13" s="1"/>
  <c r="D8" i="13"/>
  <c r="A8" i="13"/>
  <c r="A7" i="13"/>
  <c r="A6" i="13"/>
  <c r="A5" i="13"/>
  <c r="D4" i="13"/>
  <c r="A4" i="13"/>
  <c r="D3" i="13"/>
  <c r="A3" i="13"/>
  <c r="A2" i="13"/>
  <c r="G2" i="12"/>
  <c r="G3" i="12"/>
  <c r="G4" i="12"/>
  <c r="G5" i="12"/>
  <c r="G6" i="12"/>
  <c r="G7" i="12"/>
  <c r="G8" i="12"/>
  <c r="G9" i="12"/>
  <c r="E2" i="12"/>
  <c r="E3" i="12"/>
  <c r="E4" i="12"/>
  <c r="E5" i="12"/>
  <c r="E6" i="12"/>
  <c r="E7" i="12"/>
  <c r="E8" i="12"/>
  <c r="E9" i="12"/>
  <c r="A2" i="12"/>
  <c r="A3" i="12"/>
  <c r="A4" i="12"/>
  <c r="A5" i="12"/>
  <c r="A6" i="12"/>
  <c r="A7" i="12"/>
  <c r="A8" i="12"/>
  <c r="A9" i="12"/>
  <c r="D9" i="12"/>
  <c r="D8" i="12"/>
  <c r="D7" i="12"/>
  <c r="D6" i="12"/>
  <c r="D5" i="12"/>
  <c r="D4" i="12"/>
  <c r="D3" i="12"/>
  <c r="D2" i="12"/>
  <c r="G2" i="2"/>
  <c r="G3" i="2"/>
  <c r="G4" i="2"/>
  <c r="G5" i="2"/>
  <c r="G6" i="2"/>
  <c r="G7" i="2"/>
  <c r="G8" i="2"/>
  <c r="G9" i="2"/>
  <c r="A2" i="2"/>
  <c r="A3" i="2"/>
  <c r="A4" i="2"/>
  <c r="A5" i="2"/>
  <c r="A6" i="2"/>
  <c r="A7" i="2"/>
  <c r="A8" i="2"/>
  <c r="A9" i="2"/>
  <c r="E2" i="2"/>
  <c r="E3" i="2"/>
  <c r="E4" i="2"/>
  <c r="E5" i="2"/>
  <c r="E6" i="2"/>
  <c r="E7" i="2"/>
  <c r="E8" i="2"/>
  <c r="E9" i="2"/>
  <c r="A3" i="7"/>
  <c r="G3" i="7" s="1"/>
  <c r="A4" i="7"/>
  <c r="A5" i="7"/>
  <c r="G5" i="7" s="1"/>
  <c r="A6" i="7"/>
  <c r="G6" i="7" s="1"/>
  <c r="A7" i="7"/>
  <c r="G7" i="7" s="1"/>
  <c r="A8" i="7"/>
  <c r="G8" i="7" s="1"/>
  <c r="A9" i="7"/>
  <c r="G9" i="7" s="1"/>
  <c r="A2" i="7"/>
  <c r="G2" i="7" s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" i="6"/>
  <c r="G4" i="7"/>
  <c r="D2" i="2"/>
  <c r="D4" i="2"/>
  <c r="D5" i="2"/>
  <c r="D6" i="2"/>
  <c r="D7" i="2"/>
  <c r="D8" i="2"/>
  <c r="D9" i="2"/>
  <c r="D3" i="2"/>
  <c r="E2" i="13" l="1"/>
  <c r="E5" i="13"/>
  <c r="E6" i="13"/>
  <c r="E7" i="13"/>
  <c r="G8" i="13"/>
  <c r="G5" i="13"/>
  <c r="F5" i="13" s="1"/>
  <c r="E8" i="13"/>
  <c r="F8" i="13" s="1"/>
  <c r="E9" i="13"/>
  <c r="F9" i="13" s="1"/>
  <c r="G2" i="13"/>
  <c r="F2" i="13" s="1"/>
  <c r="G3" i="13"/>
  <c r="G6" i="13"/>
  <c r="E3" i="13"/>
  <c r="E4" i="13"/>
  <c r="G4" i="13"/>
  <c r="G7" i="13"/>
  <c r="F7" i="13" s="1"/>
  <c r="F3" i="12"/>
  <c r="F6" i="12"/>
  <c r="F8" i="12"/>
  <c r="F4" i="12"/>
  <c r="F9" i="12"/>
  <c r="F5" i="12"/>
  <c r="D9" i="7"/>
  <c r="D3" i="7"/>
  <c r="D4" i="7"/>
  <c r="D2" i="7"/>
  <c r="D6" i="7"/>
  <c r="D7" i="7"/>
  <c r="D8" i="7"/>
  <c r="D5" i="7"/>
  <c r="F3" i="2"/>
  <c r="F7" i="2"/>
  <c r="F2" i="2"/>
  <c r="F6" i="13" l="1"/>
  <c r="F3" i="13"/>
  <c r="F4" i="13"/>
  <c r="F2" i="12"/>
  <c r="F7" i="12"/>
  <c r="F4" i="2"/>
  <c r="F5" i="2"/>
  <c r="F6" i="2"/>
  <c r="F9" i="2"/>
  <c r="F8" i="2"/>
  <c r="E5" i="7"/>
  <c r="F5" i="7" s="1"/>
  <c r="E8" i="7"/>
  <c r="F8" i="7" s="1"/>
  <c r="E7" i="7"/>
  <c r="F7" i="7" s="1"/>
  <c r="E6" i="7"/>
  <c r="F6" i="7" s="1"/>
  <c r="E2" i="7"/>
  <c r="F2" i="7" s="1"/>
  <c r="E4" i="7"/>
  <c r="F4" i="7" s="1"/>
  <c r="E3" i="7"/>
  <c r="F3" i="7" s="1"/>
  <c r="E9" i="7"/>
  <c r="F9" i="7" s="1"/>
</calcChain>
</file>

<file path=xl/sharedStrings.xml><?xml version="1.0" encoding="utf-8"?>
<sst xmlns="http://schemas.openxmlformats.org/spreadsheetml/2006/main" count="49" uniqueCount="12">
  <si>
    <t>Resource</t>
  </si>
  <si>
    <t>Power</t>
  </si>
  <si>
    <t>Execution Time</t>
  </si>
  <si>
    <t>Extra Execution</t>
  </si>
  <si>
    <t>Unit Cost</t>
  </si>
  <si>
    <t>Resource Reduction</t>
  </si>
  <si>
    <t>Performance</t>
  </si>
  <si>
    <t>Cost</t>
  </si>
  <si>
    <t>cost/dp</t>
  </si>
  <si>
    <t>dp</t>
  </si>
  <si>
    <t>Performacne</t>
  </si>
  <si>
    <t>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</si>
</sst>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theme="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comd!$A$2:$A$21</c:f>
              <c:numCache>
                <c:formatCode>General</c:formatCode>
                <c:ptCount val="20"/>
                <c:pt idx="0">
                  <c:v>0.52150946980768054</c:v>
                </c:pt>
                <c:pt idx="1">
                  <c:v>0.57819444587717783</c:v>
                </c:pt>
                <c:pt idx="2">
                  <c:v>0.63867108103151271</c:v>
                </c:pt>
                <c:pt idx="3">
                  <c:v>0.70193634184836562</c:v>
                </c:pt>
                <c:pt idx="4">
                  <c:v>0.76493887551495476</c:v>
                </c:pt>
                <c:pt idx="5">
                  <c:v>0.82049299609577764</c:v>
                </c:pt>
                <c:pt idx="6">
                  <c:v>0.88883616208096394</c:v>
                </c:pt>
                <c:pt idx="7">
                  <c:v>1</c:v>
                </c:pt>
              </c:numCache>
            </c:numRef>
          </c:xVal>
          <c:yVal>
            <c:numRef>
              <c:f>comd!$E$2:$E$21</c:f>
              <c:numCache>
                <c:formatCode>General</c:formatCode>
                <c:ptCount val="20"/>
                <c:pt idx="0">
                  <c:v>1.18995438197563</c:v>
                </c:pt>
                <c:pt idx="1">
                  <c:v>0.84603554414579785</c:v>
                </c:pt>
                <c:pt idx="2">
                  <c:v>0.59349682146518812</c:v>
                </c:pt>
                <c:pt idx="3">
                  <c:v>0.43458635445588545</c:v>
                </c:pt>
                <c:pt idx="4">
                  <c:v>0.27338721712733949</c:v>
                </c:pt>
                <c:pt idx="5">
                  <c:v>0.15898519271082323</c:v>
                </c:pt>
                <c:pt idx="6">
                  <c:v>6.7636853776581241E-2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D2-4333-86B3-3FAAE65AC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2935247"/>
        <c:axId val="1942936687"/>
      </c:scatterChart>
      <c:valAx>
        <c:axId val="1942935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936687"/>
        <c:crosses val="autoZero"/>
        <c:crossBetween val="midCat"/>
      </c:valAx>
      <c:valAx>
        <c:axId val="194293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935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comd!$G$1</c:f>
              <c:strCache>
                <c:ptCount val="1"/>
                <c:pt idx="0">
                  <c:v>Resource Reduction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comd!$F$2:$F$20</c:f>
              <c:numCache>
                <c:formatCode>General</c:formatCode>
                <c:ptCount val="19"/>
                <c:pt idx="0">
                  <c:v>2.4868922306515704</c:v>
                </c:pt>
                <c:pt idx="1">
                  <c:v>2.0057477571749742</c:v>
                </c:pt>
                <c:pt idx="2">
                  <c:v>1.6425389452897596</c:v>
                </c:pt>
                <c:pt idx="3">
                  <c:v>1.4580320095071693</c:v>
                </c:pt>
                <c:pt idx="4">
                  <c:v>1.1630473466263562</c:v>
                </c:pt>
                <c:pt idx="5">
                  <c:v>0.88567682181165064</c:v>
                </c:pt>
                <c:pt idx="6">
                  <c:v>0.60844295269692994</c:v>
                </c:pt>
                <c:pt idx="7">
                  <c:v>0</c:v>
                </c:pt>
              </c:numCache>
            </c:numRef>
          </c:xVal>
          <c:yVal>
            <c:numRef>
              <c:f>comd!$G$2:$G$20</c:f>
              <c:numCache>
                <c:formatCode>General</c:formatCode>
                <c:ptCount val="19"/>
                <c:pt idx="0">
                  <c:v>0.47849053019231946</c:v>
                </c:pt>
                <c:pt idx="1">
                  <c:v>0.42180555412282217</c:v>
                </c:pt>
                <c:pt idx="2">
                  <c:v>0.36132891896848729</c:v>
                </c:pt>
                <c:pt idx="3">
                  <c:v>0.29806365815163438</c:v>
                </c:pt>
                <c:pt idx="4">
                  <c:v>0.23506112448504524</c:v>
                </c:pt>
                <c:pt idx="5">
                  <c:v>0.17950700390422236</c:v>
                </c:pt>
                <c:pt idx="6">
                  <c:v>0.11116383791903606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DC-49B2-9512-4D5D6E3F0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2925167"/>
        <c:axId val="1942917007"/>
      </c:scatterChart>
      <c:valAx>
        <c:axId val="1942925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Unit Cost of Resource Reduction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917007"/>
        <c:crosses val="autoZero"/>
        <c:crossBetween val="midCat"/>
      </c:valAx>
      <c:valAx>
        <c:axId val="194291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925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xsbench!$A$2:$A$9</c:f>
              <c:numCache>
                <c:formatCode>General</c:formatCode>
                <c:ptCount val="8"/>
                <c:pt idx="0">
                  <c:v>0.78919951469688743</c:v>
                </c:pt>
                <c:pt idx="1">
                  <c:v>0.82490511070759887</c:v>
                </c:pt>
                <c:pt idx="2">
                  <c:v>0.84324624616079635</c:v>
                </c:pt>
                <c:pt idx="3">
                  <c:v>0.87266882453179173</c:v>
                </c:pt>
                <c:pt idx="4">
                  <c:v>0.8849909666087008</c:v>
                </c:pt>
                <c:pt idx="5">
                  <c:v>0.92919955169151924</c:v>
                </c:pt>
                <c:pt idx="6">
                  <c:v>0.9723739651319393</c:v>
                </c:pt>
                <c:pt idx="7">
                  <c:v>1</c:v>
                </c:pt>
              </c:numCache>
            </c:numRef>
          </c:xVal>
          <c:yVal>
            <c:numRef>
              <c:f>xsbench!$D$2:$D$9</c:f>
              <c:numCache>
                <c:formatCode>General</c:formatCode>
                <c:ptCount val="8"/>
                <c:pt idx="0">
                  <c:v>1.5648623161524637</c:v>
                </c:pt>
                <c:pt idx="1">
                  <c:v>1.4124954665604876</c:v>
                </c:pt>
                <c:pt idx="2">
                  <c:v>1.2887471761873999</c:v>
                </c:pt>
                <c:pt idx="3">
                  <c:v>1.1953711585250617</c:v>
                </c:pt>
                <c:pt idx="4">
                  <c:v>1.1376452169705695</c:v>
                </c:pt>
                <c:pt idx="5">
                  <c:v>1.0782461330346764</c:v>
                </c:pt>
                <c:pt idx="6">
                  <c:v>1.0522559745158082</c:v>
                </c:pt>
                <c:pt idx="7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AD-A149-A736-3DE13EC7B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62864"/>
        <c:axId val="495464576"/>
      </c:scatterChart>
      <c:valAx>
        <c:axId val="495462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64576"/>
        <c:crosses val="autoZero"/>
        <c:crossBetween val="midCat"/>
      </c:valAx>
      <c:valAx>
        <c:axId val="49546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62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739775</xdr:colOff>
      <xdr:row>1</xdr:row>
      <xdr:rowOff>132555</xdr:rowOff>
    </xdr:from>
    <xdr:to>
      <xdr:col>18</xdr:col>
      <xdr:colOff>811213</xdr:colOff>
      <xdr:row>28</xdr:row>
      <xdr:rowOff>120649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9B81C934-3AB1-4B9F-B086-E14679F754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11113</xdr:colOff>
      <xdr:row>1</xdr:row>
      <xdr:rowOff>73818</xdr:rowOff>
    </xdr:from>
    <xdr:to>
      <xdr:col>26</xdr:col>
      <xdr:colOff>44450</xdr:colOff>
      <xdr:row>27</xdr:row>
      <xdr:rowOff>33337</xdr:rowOff>
    </xdr:to>
    <xdr:graphicFrame macro="">
      <xdr:nvGraphicFramePr>
        <xdr:cNvPr id="62" name="Chart 2">
          <a:extLst>
            <a:ext uri="{FF2B5EF4-FFF2-40B4-BE49-F238E27FC236}">
              <a16:creationId xmlns:a16="http://schemas.microsoft.com/office/drawing/2014/main" id="{5610EA7E-4CC4-B3DA-D896-FC45C0E739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323850</xdr:colOff>
      <xdr:row>4</xdr:row>
      <xdr:rowOff>114300</xdr:rowOff>
    </xdr:from>
    <xdr:to>
      <xdr:col>18</xdr:col>
      <xdr:colOff>25400</xdr:colOff>
      <xdr:row>28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428D5E-FBCE-0535-F212-E02AC45BD3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9526-B852-F242-A3F7-3FC81F3AD9E0}">
  <dimension ref="A1:H9"/>
  <sheetViews>
    <sheetView tabSelected="1" workbookViewId="0">
      <selection activeCell="C8" sqref="C8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8" si="0">B2/$B$9</f>
        <v>0.71497074178531128</v>
      </c>
      <c r="B2">
        <v>73.067394089999993</v>
      </c>
      <c r="C2">
        <v>62.215871463397363</v>
      </c>
      <c r="D2">
        <f>1/C2*100</f>
        <v>1.6073069081549662</v>
      </c>
      <c r="E2">
        <f t="shared" ref="E2:E8" si="1">D2-$D$9</f>
        <v>0.60730690815496624</v>
      </c>
      <c r="F2">
        <f>IFERROR(E2/G2,0)</f>
        <v>2.1306826953797589</v>
      </c>
      <c r="G2">
        <f t="shared" ref="G2:G8" si="2">$A$9-A2</f>
        <v>0.28502925821468872</v>
      </c>
      <c r="H2">
        <v>1000</v>
      </c>
    </row>
    <row r="3" spans="1:8" x14ac:dyDescent="0.2">
      <c r="A3">
        <f t="shared" si="0"/>
        <v>0.72636705639800225</v>
      </c>
      <c r="B3">
        <v>74.232055750000001</v>
      </c>
      <c r="C3">
        <v>64.984755238212898</v>
      </c>
      <c r="D3">
        <f t="shared" ref="D3:D22" si="3">1/C3*100</f>
        <v>1.5388224458710762</v>
      </c>
      <c r="E3">
        <f t="shared" si="1"/>
        <v>0.53882244587107619</v>
      </c>
      <c r="F3">
        <f t="shared" ref="F3:F22" si="4">IFERROR(E3/G3,0)</f>
        <v>1.9691431842168814</v>
      </c>
      <c r="G3">
        <f t="shared" si="2"/>
        <v>0.27363294360199775</v>
      </c>
      <c r="H3">
        <v>1200</v>
      </c>
    </row>
    <row r="4" spans="1:8" x14ac:dyDescent="0.2">
      <c r="A4">
        <f t="shared" si="0"/>
        <v>0.72742222235029819</v>
      </c>
      <c r="B4">
        <v>74.339889850000006</v>
      </c>
      <c r="C4">
        <v>72.454178137892256</v>
      </c>
      <c r="D4">
        <f t="shared" si="3"/>
        <v>1.3801826557149472</v>
      </c>
      <c r="E4">
        <f t="shared" si="1"/>
        <v>0.38018265571494725</v>
      </c>
      <c r="F4">
        <f t="shared" si="4"/>
        <v>1.394767610892814</v>
      </c>
      <c r="G4">
        <f t="shared" si="2"/>
        <v>0.27257777764970181</v>
      </c>
      <c r="H4">
        <v>1400</v>
      </c>
    </row>
    <row r="5" spans="1:8" x14ac:dyDescent="0.2">
      <c r="A5">
        <f t="shared" si="0"/>
        <v>0.72797460621425469</v>
      </c>
      <c r="B5">
        <v>74.396341460000002</v>
      </c>
      <c r="C5">
        <v>71.601645905823233</v>
      </c>
      <c r="D5">
        <f t="shared" si="3"/>
        <v>1.3966159399677596</v>
      </c>
      <c r="E5">
        <f t="shared" si="1"/>
        <v>0.39661593996775957</v>
      </c>
      <c r="F5">
        <f t="shared" si="4"/>
        <v>1.4580107189556915</v>
      </c>
      <c r="G5">
        <f t="shared" si="2"/>
        <v>0.27202539378574531</v>
      </c>
      <c r="H5">
        <v>1600</v>
      </c>
    </row>
    <row r="6" spans="1:8" x14ac:dyDescent="0.2">
      <c r="A6">
        <f t="shared" si="0"/>
        <v>0.78592593512753095</v>
      </c>
      <c r="B6">
        <v>80.318755260000003</v>
      </c>
      <c r="C6">
        <v>80.985230413793147</v>
      </c>
      <c r="D6">
        <f t="shared" si="3"/>
        <v>1.2347930541044472</v>
      </c>
      <c r="E6">
        <f t="shared" si="1"/>
        <v>0.23479305410444717</v>
      </c>
      <c r="F6">
        <f t="shared" si="4"/>
        <v>1.0967842099150176</v>
      </c>
      <c r="G6">
        <f t="shared" si="2"/>
        <v>0.21407406487246905</v>
      </c>
      <c r="H6">
        <v>1800</v>
      </c>
    </row>
    <row r="7" spans="1:8" x14ac:dyDescent="0.2">
      <c r="A7">
        <f t="shared" si="0"/>
        <v>0.83241158285494976</v>
      </c>
      <c r="B7">
        <v>85.069418389999996</v>
      </c>
      <c r="C7">
        <v>86.287629400820549</v>
      </c>
      <c r="D7">
        <f t="shared" si="3"/>
        <v>1.158914675190382</v>
      </c>
      <c r="E7">
        <f t="shared" si="1"/>
        <v>0.15891467519038205</v>
      </c>
      <c r="F7">
        <f t="shared" si="4"/>
        <v>0.94824378616118232</v>
      </c>
      <c r="G7">
        <f t="shared" si="2"/>
        <v>0.16758841714505024</v>
      </c>
      <c r="H7">
        <v>2000</v>
      </c>
    </row>
    <row r="8" spans="1:8" x14ac:dyDescent="0.2">
      <c r="A8">
        <f t="shared" si="0"/>
        <v>0.72104350359743552</v>
      </c>
      <c r="B8">
        <v>73.68800813</v>
      </c>
      <c r="C8">
        <v>85.89618559729179</v>
      </c>
      <c r="D8">
        <f t="shared" si="3"/>
        <v>1.1641960502045028</v>
      </c>
      <c r="E8">
        <f t="shared" si="1"/>
        <v>0.16419605020450279</v>
      </c>
      <c r="F8">
        <f t="shared" si="4"/>
        <v>0.58860808879514348</v>
      </c>
      <c r="G8">
        <f t="shared" si="2"/>
        <v>0.27895649640256448</v>
      </c>
      <c r="H8">
        <v>2200</v>
      </c>
    </row>
    <row r="9" spans="1:8" x14ac:dyDescent="0.2">
      <c r="A9">
        <f>B9/$B$9</f>
        <v>1</v>
      </c>
      <c r="B9">
        <v>102.1963415</v>
      </c>
      <c r="C9">
        <v>100</v>
      </c>
      <c r="D9">
        <f t="shared" si="3"/>
        <v>1</v>
      </c>
      <c r="E9">
        <f>D9-$D$9</f>
        <v>0</v>
      </c>
      <c r="F9">
        <f t="shared" si="4"/>
        <v>0</v>
      </c>
      <c r="G9">
        <f>$A$9-A9</f>
        <v>0</v>
      </c>
      <c r="H9">
        <v>2400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3E1AA-8B6F-5143-A3C0-8630B1704DF7}">
  <dimension ref="A1:H21"/>
  <sheetViews>
    <sheetView workbookViewId="0">
      <selection activeCell="G3" sqref="G3"/>
    </sheetView>
  </sheetViews>
  <sheetFormatPr baseColWidth="10" defaultColWidth="11" defaultRowHeight="15.75" customHeight="1" x14ac:dyDescent="0.2"/>
  <cols>
    <col min="3" max="3" width="13.6640625" customWidth="1"/>
    <col min="4" max="4" width="14.83203125" customWidth="1"/>
    <col min="5" max="5" width="15.6640625" customWidth="1"/>
    <col min="7" max="7" width="17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8" si="0">B2/$B$9</f>
        <v>0.52150946980768054</v>
      </c>
      <c r="B2">
        <v>122.842857142857</v>
      </c>
      <c r="C2">
        <v>45.663051624749698</v>
      </c>
      <c r="D2">
        <f t="shared" ref="D2:D9" si="1">1/C2*100</f>
        <v>2.18995438197563</v>
      </c>
      <c r="E2">
        <f t="shared" ref="E2:E8" si="2">D2-$D$9</f>
        <v>1.18995438197563</v>
      </c>
      <c r="F2">
        <f>IFERROR(E2/G2,0)</f>
        <v>2.4868922306515704</v>
      </c>
      <c r="G2">
        <f t="shared" ref="G2:G8" si="3">$A$9-A2</f>
        <v>0.47849053019231946</v>
      </c>
      <c r="H2">
        <v>1000</v>
      </c>
    </row>
    <row r="3" spans="1:8" x14ac:dyDescent="0.2">
      <c r="A3">
        <f t="shared" si="0"/>
        <v>0.57819444587717783</v>
      </c>
      <c r="B3">
        <v>136.195144724556</v>
      </c>
      <c r="C3">
        <v>54.170137902882175</v>
      </c>
      <c r="D3">
        <f t="shared" si="1"/>
        <v>1.8460355441457978</v>
      </c>
      <c r="E3">
        <f t="shared" si="2"/>
        <v>0.84603554414579785</v>
      </c>
      <c r="F3">
        <f t="shared" ref="F3:F9" si="4">IFERROR(E3/G3,0)</f>
        <v>2.0057477571749742</v>
      </c>
      <c r="G3">
        <f t="shared" si="3"/>
        <v>0.42180555412282217</v>
      </c>
      <c r="H3">
        <v>1200</v>
      </c>
    </row>
    <row r="4" spans="1:8" x14ac:dyDescent="0.2">
      <c r="A4">
        <f t="shared" si="0"/>
        <v>0.63867108103151271</v>
      </c>
      <c r="B4">
        <v>150.440567066521</v>
      </c>
      <c r="C4">
        <v>62.755067128437716</v>
      </c>
      <c r="D4">
        <f t="shared" si="1"/>
        <v>1.5934968214651881</v>
      </c>
      <c r="E4">
        <f t="shared" si="2"/>
        <v>0.59349682146518812</v>
      </c>
      <c r="F4">
        <f t="shared" si="4"/>
        <v>1.6425389452897596</v>
      </c>
      <c r="G4">
        <f t="shared" si="3"/>
        <v>0.36132891896848729</v>
      </c>
      <c r="H4">
        <v>1400</v>
      </c>
    </row>
    <row r="5" spans="1:8" x14ac:dyDescent="0.2">
      <c r="A5">
        <f t="shared" si="0"/>
        <v>0.70193634184836562</v>
      </c>
      <c r="B5">
        <v>165.34285714285701</v>
      </c>
      <c r="C5">
        <v>69.70650437974389</v>
      </c>
      <c r="D5">
        <f t="shared" si="1"/>
        <v>1.4345863544558854</v>
      </c>
      <c r="E5">
        <f t="shared" si="2"/>
        <v>0.43458635445588545</v>
      </c>
      <c r="F5">
        <f t="shared" si="4"/>
        <v>1.4580320095071693</v>
      </c>
      <c r="G5">
        <f t="shared" si="3"/>
        <v>0.29806365815163438</v>
      </c>
      <c r="H5">
        <v>1600</v>
      </c>
    </row>
    <row r="6" spans="1:8" x14ac:dyDescent="0.2">
      <c r="A6">
        <f t="shared" si="0"/>
        <v>0.76493887551495476</v>
      </c>
      <c r="B6">
        <v>180.18326118326101</v>
      </c>
      <c r="C6">
        <v>78.530708220545876</v>
      </c>
      <c r="D6">
        <f t="shared" si="1"/>
        <v>1.2733872171273395</v>
      </c>
      <c r="E6">
        <f t="shared" si="2"/>
        <v>0.27338721712733949</v>
      </c>
      <c r="F6">
        <f t="shared" si="4"/>
        <v>1.1630473466263562</v>
      </c>
      <c r="G6">
        <f t="shared" si="3"/>
        <v>0.23506112448504524</v>
      </c>
      <c r="H6">
        <v>1800</v>
      </c>
    </row>
    <row r="7" spans="1:8" x14ac:dyDescent="0.2">
      <c r="A7">
        <f t="shared" si="0"/>
        <v>0.82049299609577764</v>
      </c>
      <c r="B7">
        <v>193.26917293233001</v>
      </c>
      <c r="C7">
        <v>86.282379299517814</v>
      </c>
      <c r="D7">
        <f t="shared" si="1"/>
        <v>1.1589851927108232</v>
      </c>
      <c r="E7">
        <f t="shared" si="2"/>
        <v>0.15898519271082323</v>
      </c>
      <c r="F7">
        <f t="shared" si="4"/>
        <v>0.88567682181165064</v>
      </c>
      <c r="G7">
        <f t="shared" si="3"/>
        <v>0.17950700390422236</v>
      </c>
      <c r="H7">
        <v>2000</v>
      </c>
    </row>
    <row r="8" spans="1:8" x14ac:dyDescent="0.2">
      <c r="A8">
        <f t="shared" si="0"/>
        <v>0.88883616208096394</v>
      </c>
      <c r="B8">
        <v>209.36757624398001</v>
      </c>
      <c r="C8">
        <v>93.664807135747736</v>
      </c>
      <c r="D8">
        <f t="shared" si="1"/>
        <v>1.0676368537765812</v>
      </c>
      <c r="E8">
        <f t="shared" si="2"/>
        <v>6.7636853776581241E-2</v>
      </c>
      <c r="F8">
        <f t="shared" si="4"/>
        <v>0.60844295269692994</v>
      </c>
      <c r="G8">
        <f t="shared" si="3"/>
        <v>0.11116383791903606</v>
      </c>
      <c r="H8">
        <v>2200</v>
      </c>
    </row>
    <row r="9" spans="1:8" x14ac:dyDescent="0.2">
      <c r="A9">
        <f>B9/$B$9</f>
        <v>1</v>
      </c>
      <c r="B9">
        <v>235.55249569707399</v>
      </c>
      <c r="C9">
        <v>100</v>
      </c>
      <c r="D9">
        <f t="shared" si="1"/>
        <v>1</v>
      </c>
      <c r="E9">
        <f>D9-$D$9</f>
        <v>0</v>
      </c>
      <c r="F9">
        <f t="shared" si="4"/>
        <v>0</v>
      </c>
      <c r="G9">
        <f>$A$9-A9</f>
        <v>0</v>
      </c>
      <c r="H9">
        <v>2400</v>
      </c>
    </row>
    <row r="10" spans="1:8" x14ac:dyDescent="0.2"/>
    <row r="11" spans="1:8" x14ac:dyDescent="0.2"/>
    <row r="12" spans="1:8" x14ac:dyDescent="0.2"/>
    <row r="13" spans="1:8" x14ac:dyDescent="0.2"/>
    <row r="14" spans="1:8" x14ac:dyDescent="0.2"/>
    <row r="15" spans="1:8" x14ac:dyDescent="0.2"/>
    <row r="16" spans="1:8" x14ac:dyDescent="0.2"/>
    <row r="17" x14ac:dyDescent="0.2"/>
    <row r="18" x14ac:dyDescent="0.2"/>
    <row r="19" x14ac:dyDescent="0.2"/>
    <row r="20" x14ac:dyDescent="0.2"/>
    <row r="21" x14ac:dyDescent="0.2"/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082B9-671B-564E-9764-5E0AC9E36136}">
  <dimension ref="A1:H9"/>
  <sheetViews>
    <sheetView workbookViewId="0">
      <selection activeCell="G3" sqref="G3"/>
    </sheetView>
  </sheetViews>
  <sheetFormatPr baseColWidth="10" defaultColWidth="11" defaultRowHeight="16" x14ac:dyDescent="0.2"/>
  <cols>
    <col min="3" max="3" width="13.5" customWidth="1"/>
    <col min="4" max="4" width="13.6640625" customWidth="1"/>
    <col min="5" max="5" width="16.6640625" customWidth="1"/>
    <col min="6" max="6" width="13.5" customWidth="1"/>
    <col min="7" max="7" width="18.3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>B2/$B$9</f>
        <v>0.78919951469688743</v>
      </c>
      <c r="B2" s="1">
        <v>142.50318200000001</v>
      </c>
      <c r="C2" s="1">
        <v>63.9033856</v>
      </c>
      <c r="D2">
        <f>1/C2*100</f>
        <v>1.5648623161524637</v>
      </c>
      <c r="E2">
        <f>D2-$D$9</f>
        <v>0.56486231615246374</v>
      </c>
      <c r="F2">
        <f>IFERROR(E2/G2,0)</f>
        <v>2.6796063364856173</v>
      </c>
      <c r="G2">
        <f>1-A2</f>
        <v>0.21080048530311257</v>
      </c>
      <c r="H2">
        <v>1000</v>
      </c>
    </row>
    <row r="3" spans="1:8" x14ac:dyDescent="0.2">
      <c r="A3">
        <f t="shared" ref="A3:A9" si="0">B3/$B$9</f>
        <v>0.82490511070759887</v>
      </c>
      <c r="B3" s="1">
        <v>148.950425</v>
      </c>
      <c r="C3" s="1">
        <v>70.796687399999996</v>
      </c>
      <c r="D3">
        <f t="shared" ref="D3:D9" si="1">1/C3*100</f>
        <v>1.4124954665604876</v>
      </c>
      <c r="E3">
        <f t="shared" ref="E3:E9" si="2">D3-$D$9</f>
        <v>0.41249546656048763</v>
      </c>
      <c r="F3">
        <f t="shared" ref="F3:F9" si="3">IFERROR(E3/G3,0)</f>
        <v>2.3558395577819375</v>
      </c>
      <c r="G3">
        <f t="shared" ref="G3:G9" si="4">1-A3</f>
        <v>0.17509488929240113</v>
      </c>
      <c r="H3">
        <v>1200</v>
      </c>
    </row>
    <row r="4" spans="1:8" x14ac:dyDescent="0.2">
      <c r="A4">
        <f t="shared" si="0"/>
        <v>0.84324624616079635</v>
      </c>
      <c r="B4" s="1">
        <v>152.262224</v>
      </c>
      <c r="C4" s="1">
        <v>77.594738399999997</v>
      </c>
      <c r="D4">
        <f t="shared" si="1"/>
        <v>1.2887471761873999</v>
      </c>
      <c r="E4">
        <f t="shared" si="2"/>
        <v>0.28874717618739987</v>
      </c>
      <c r="F4">
        <f t="shared" si="3"/>
        <v>1.8420431352705831</v>
      </c>
      <c r="G4">
        <f t="shared" si="4"/>
        <v>0.15675375383920365</v>
      </c>
      <c r="H4">
        <v>1400</v>
      </c>
    </row>
    <row r="5" spans="1:8" x14ac:dyDescent="0.2">
      <c r="A5">
        <f t="shared" si="0"/>
        <v>0.87266882453179173</v>
      </c>
      <c r="B5" s="1">
        <v>157.574963</v>
      </c>
      <c r="C5" s="1">
        <v>83.656025400000004</v>
      </c>
      <c r="D5">
        <f t="shared" si="1"/>
        <v>1.1953711585250617</v>
      </c>
      <c r="E5">
        <f t="shared" si="2"/>
        <v>0.19537115852506171</v>
      </c>
      <c r="F5">
        <f t="shared" si="3"/>
        <v>1.5343544721602094</v>
      </c>
      <c r="G5">
        <f t="shared" si="4"/>
        <v>0.12733117546820827</v>
      </c>
      <c r="H5">
        <v>1600</v>
      </c>
    </row>
    <row r="6" spans="1:8" x14ac:dyDescent="0.2">
      <c r="A6">
        <f t="shared" si="0"/>
        <v>0.8849909666087008</v>
      </c>
      <c r="B6" s="1">
        <v>159.79993200000001</v>
      </c>
      <c r="C6" s="1">
        <v>87.900866199999996</v>
      </c>
      <c r="D6">
        <f t="shared" si="1"/>
        <v>1.1376452169705695</v>
      </c>
      <c r="E6">
        <f t="shared" si="2"/>
        <v>0.13764521697056953</v>
      </c>
      <c r="F6">
        <f t="shared" si="3"/>
        <v>1.1968209184252028</v>
      </c>
      <c r="G6">
        <f t="shared" si="4"/>
        <v>0.1150090333912992</v>
      </c>
      <c r="H6">
        <v>1800</v>
      </c>
    </row>
    <row r="7" spans="1:8" x14ac:dyDescent="0.2">
      <c r="A7">
        <f t="shared" si="0"/>
        <v>0.92919955169151924</v>
      </c>
      <c r="B7" s="1">
        <v>167.782532</v>
      </c>
      <c r="C7" s="1">
        <v>92.743202999999994</v>
      </c>
      <c r="D7">
        <f t="shared" si="1"/>
        <v>1.0782461330346764</v>
      </c>
      <c r="E7">
        <f t="shared" si="2"/>
        <v>7.8246133034676424E-2</v>
      </c>
      <c r="F7">
        <f t="shared" si="3"/>
        <v>1.1051643726005023</v>
      </c>
      <c r="G7">
        <f t="shared" si="4"/>
        <v>7.0800448308480757E-2</v>
      </c>
      <c r="H7">
        <v>2000</v>
      </c>
    </row>
    <row r="8" spans="1:8" x14ac:dyDescent="0.2">
      <c r="A8">
        <f t="shared" si="0"/>
        <v>0.9723739651319393</v>
      </c>
      <c r="B8" s="1">
        <v>175.578395</v>
      </c>
      <c r="C8" s="1">
        <v>95.033910399999996</v>
      </c>
      <c r="D8">
        <f t="shared" si="1"/>
        <v>1.0522559745158082</v>
      </c>
      <c r="E8">
        <f t="shared" si="2"/>
        <v>5.2255974515808212E-2</v>
      </c>
      <c r="F8">
        <f t="shared" si="3"/>
        <v>1.8915481271698145</v>
      </c>
      <c r="G8">
        <f t="shared" si="4"/>
        <v>2.76260348680607E-2</v>
      </c>
      <c r="H8">
        <v>2200</v>
      </c>
    </row>
    <row r="9" spans="1:8" x14ac:dyDescent="0.2">
      <c r="A9">
        <f t="shared" si="0"/>
        <v>1</v>
      </c>
      <c r="B9" s="1">
        <v>180.56673799999999</v>
      </c>
      <c r="C9" s="1">
        <v>100</v>
      </c>
      <c r="D9">
        <f t="shared" si="1"/>
        <v>1</v>
      </c>
      <c r="E9">
        <f t="shared" si="2"/>
        <v>0</v>
      </c>
      <c r="F9">
        <f t="shared" si="3"/>
        <v>0</v>
      </c>
      <c r="G9">
        <f t="shared" si="4"/>
        <v>0</v>
      </c>
      <c r="H9">
        <v>2400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14F2A-01F8-2F4B-AC67-C77A33EB044F}">
  <dimension ref="A1:H9"/>
  <sheetViews>
    <sheetView workbookViewId="0">
      <selection activeCell="G9" sqref="G9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8" si="0">B2/$B$9</f>
        <v>0.60292186492216737</v>
      </c>
      <c r="B2">
        <v>69.961904759999996</v>
      </c>
      <c r="C2">
        <v>43.834865922357316</v>
      </c>
      <c r="D2">
        <f>1/C2*100</f>
        <v>2.2812890582835457</v>
      </c>
      <c r="E2">
        <f t="shared" ref="E2:E8" si="1">D2-$D$9</f>
        <v>1.2812890582835457</v>
      </c>
      <c r="F2">
        <f>IFERROR(E2/G2,0)</f>
        <v>3.2267932809556381</v>
      </c>
      <c r="G2">
        <f t="shared" ref="G2:G8" si="2">$A$9-A2</f>
        <v>0.39707813507783263</v>
      </c>
      <c r="H2">
        <v>1000</v>
      </c>
    </row>
    <row r="3" spans="1:8" x14ac:dyDescent="0.2">
      <c r="A3">
        <f t="shared" si="0"/>
        <v>0.63212391295785419</v>
      </c>
      <c r="B3">
        <v>73.350454790000001</v>
      </c>
      <c r="C3">
        <v>51.311451057013421</v>
      </c>
      <c r="D3">
        <f t="shared" ref="D3:D22" si="3">1/C3*100</f>
        <v>1.9488827140921725</v>
      </c>
      <c r="E3">
        <f t="shared" si="1"/>
        <v>0.94888271409217251</v>
      </c>
      <c r="F3">
        <f t="shared" ref="F3:F22" si="4">IFERROR(E3/G3,0)</f>
        <v>2.5793541562364819</v>
      </c>
      <c r="G3">
        <f t="shared" si="2"/>
        <v>0.36787608704214581</v>
      </c>
      <c r="H3">
        <v>1200</v>
      </c>
    </row>
    <row r="4" spans="1:8" x14ac:dyDescent="0.2">
      <c r="A4">
        <f t="shared" si="0"/>
        <v>0.67043962300408388</v>
      </c>
      <c r="B4">
        <v>77.796536799999998</v>
      </c>
      <c r="C4">
        <v>60.142102176381314</v>
      </c>
      <c r="D4">
        <f t="shared" si="3"/>
        <v>1.6627287105250448</v>
      </c>
      <c r="E4">
        <f t="shared" si="1"/>
        <v>0.66272871052504478</v>
      </c>
      <c r="F4">
        <f t="shared" si="4"/>
        <v>2.0109477861571241</v>
      </c>
      <c r="G4">
        <f t="shared" si="2"/>
        <v>0.32956037699591612</v>
      </c>
      <c r="H4">
        <v>1400</v>
      </c>
    </row>
    <row r="5" spans="1:8" x14ac:dyDescent="0.2">
      <c r="A5">
        <f t="shared" si="0"/>
        <v>0.72177371237993226</v>
      </c>
      <c r="B5">
        <v>83.753246750000002</v>
      </c>
      <c r="C5">
        <v>69.038961348722154</v>
      </c>
      <c r="D5">
        <f t="shared" si="3"/>
        <v>1.4484574803333266</v>
      </c>
      <c r="E5">
        <f t="shared" si="1"/>
        <v>0.44845748033332655</v>
      </c>
      <c r="F5">
        <f t="shared" si="4"/>
        <v>1.6118443881396221</v>
      </c>
      <c r="G5">
        <f t="shared" si="2"/>
        <v>0.27822628762006774</v>
      </c>
      <c r="H5">
        <v>1600</v>
      </c>
    </row>
    <row r="6" spans="1:8" x14ac:dyDescent="0.2">
      <c r="A6">
        <f t="shared" si="0"/>
        <v>0.75798177959060464</v>
      </c>
      <c r="B6">
        <v>87.954761899999994</v>
      </c>
      <c r="C6">
        <v>75.418355427729949</v>
      </c>
      <c r="D6">
        <f t="shared" si="3"/>
        <v>1.3259371598977061</v>
      </c>
      <c r="E6">
        <f t="shared" si="1"/>
        <v>0.32593715989770611</v>
      </c>
      <c r="F6">
        <f t="shared" si="4"/>
        <v>1.3467463703615141</v>
      </c>
      <c r="G6">
        <f t="shared" si="2"/>
        <v>0.24201822040939536</v>
      </c>
      <c r="H6">
        <v>1800</v>
      </c>
    </row>
    <row r="7" spans="1:8" x14ac:dyDescent="0.2">
      <c r="A7">
        <f t="shared" si="0"/>
        <v>0.80095936407615209</v>
      </c>
      <c r="B7">
        <v>92.941798939999998</v>
      </c>
      <c r="C7">
        <v>83.251771408047588</v>
      </c>
      <c r="D7">
        <f t="shared" si="3"/>
        <v>1.2011756423759823</v>
      </c>
      <c r="E7">
        <f t="shared" si="1"/>
        <v>0.20117564237598229</v>
      </c>
      <c r="F7">
        <f t="shared" si="4"/>
        <v>1.0107264852838955</v>
      </c>
      <c r="G7">
        <f t="shared" si="2"/>
        <v>0.19904063592384791</v>
      </c>
      <c r="H7">
        <v>2000</v>
      </c>
    </row>
    <row r="8" spans="1:8" x14ac:dyDescent="0.2">
      <c r="A8">
        <f t="shared" si="0"/>
        <v>0.84102583933142672</v>
      </c>
      <c r="B8">
        <v>97.591036410000001</v>
      </c>
      <c r="C8">
        <v>88.77195732648191</v>
      </c>
      <c r="D8">
        <f t="shared" si="3"/>
        <v>1.126481864449874</v>
      </c>
      <c r="E8">
        <f t="shared" si="1"/>
        <v>0.12648186444987397</v>
      </c>
      <c r="F8">
        <f t="shared" si="4"/>
        <v>0.7956127204443072</v>
      </c>
      <c r="G8">
        <f t="shared" si="2"/>
        <v>0.15897416066857328</v>
      </c>
      <c r="H8">
        <v>2200</v>
      </c>
    </row>
    <row r="9" spans="1:8" x14ac:dyDescent="0.2">
      <c r="A9">
        <f>B9/$B$9</f>
        <v>1</v>
      </c>
      <c r="B9">
        <v>116.0380952</v>
      </c>
      <c r="C9">
        <v>100</v>
      </c>
      <c r="D9">
        <f t="shared" si="3"/>
        <v>1</v>
      </c>
      <c r="E9">
        <f>D9-$D$9</f>
        <v>0</v>
      </c>
      <c r="F9">
        <f t="shared" si="4"/>
        <v>0</v>
      </c>
      <c r="G9">
        <f>$A$9-A9</f>
        <v>0</v>
      </c>
      <c r="H9">
        <v>2400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CBB-20F0-7C46-83B1-7FDBC565404C}">
  <dimension ref="A1:G22"/>
  <sheetViews>
    <sheetView workbookViewId="0">
      <selection activeCell="F29" sqref="F29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7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f>B2/$B$22</f>
        <v>0.31212302592200397</v>
      </c>
      <c r="B2">
        <v>90.266311584553904</v>
      </c>
      <c r="C2">
        <v>63.0287236066197</v>
      </c>
      <c r="D2">
        <f>1/C2*100</f>
        <v>1.586578218275982</v>
      </c>
      <c r="E2">
        <f>D2-$D$22</f>
        <v>0.58600189240290823</v>
      </c>
      <c r="F2">
        <f>IFERROR(E2/G2,0)</f>
        <v>0.85189927048853875</v>
      </c>
      <c r="G2">
        <f>$A$22-A2</f>
        <v>0.68787697407799597</v>
      </c>
    </row>
    <row r="3" spans="1:7" x14ac:dyDescent="0.2">
      <c r="A3">
        <f t="shared" ref="A3:A22" si="0">B3/$B$22</f>
        <v>0.34803628159675842</v>
      </c>
      <c r="B3">
        <v>100.65246338215699</v>
      </c>
      <c r="C3">
        <v>72.177515693361201</v>
      </c>
      <c r="D3">
        <f t="shared" ref="D3:D22" si="1">1/C3*100</f>
        <v>1.3854730110806222</v>
      </c>
      <c r="E3">
        <f t="shared" ref="E3:E22" si="2">D3-$D$22</f>
        <v>0.38489668520754838</v>
      </c>
      <c r="F3">
        <f t="shared" ref="F3:F22" si="3">IFERROR(E3/G3,0)</f>
        <v>0.59036519110330088</v>
      </c>
      <c r="G3">
        <f t="shared" ref="G3:G22" si="4">$A$22-A3</f>
        <v>0.65196371840324163</v>
      </c>
    </row>
    <row r="4" spans="1:7" x14ac:dyDescent="0.2">
      <c r="A4">
        <f t="shared" si="0"/>
        <v>0.38210783185229391</v>
      </c>
      <c r="B4">
        <v>110.50599201065199</v>
      </c>
      <c r="C4">
        <v>81.326003424006004</v>
      </c>
      <c r="D4">
        <f t="shared" si="1"/>
        <v>1.2296190122442654</v>
      </c>
      <c r="E4">
        <f t="shared" si="2"/>
        <v>0.22904268637119163</v>
      </c>
      <c r="F4">
        <f t="shared" si="3"/>
        <v>0.37068391246616245</v>
      </c>
      <c r="G4">
        <f t="shared" si="4"/>
        <v>0.61789216814770609</v>
      </c>
    </row>
    <row r="5" spans="1:7" x14ac:dyDescent="0.2">
      <c r="A5">
        <f t="shared" si="0"/>
        <v>0.4161793821078294</v>
      </c>
      <c r="B5">
        <v>120.35952063914699</v>
      </c>
      <c r="C5">
        <v>92.0744911546509</v>
      </c>
      <c r="D5">
        <f t="shared" si="1"/>
        <v>1.0860771397806284</v>
      </c>
      <c r="E5">
        <f t="shared" si="2"/>
        <v>8.5500813907554596E-2</v>
      </c>
      <c r="F5">
        <f t="shared" si="3"/>
        <v>0.14645048716547088</v>
      </c>
      <c r="G5">
        <f t="shared" si="4"/>
        <v>0.58382061789217055</v>
      </c>
    </row>
    <row r="6" spans="1:7" x14ac:dyDescent="0.2">
      <c r="A6">
        <f t="shared" si="0"/>
        <v>0.45209263778258701</v>
      </c>
      <c r="B6">
        <v>130.74567243675099</v>
      </c>
      <c r="C6">
        <v>90.137568955678105</v>
      </c>
      <c r="D6">
        <f t="shared" si="1"/>
        <v>1.1094153210319151</v>
      </c>
      <c r="E6">
        <f t="shared" si="2"/>
        <v>0.10883899515884132</v>
      </c>
      <c r="F6">
        <f t="shared" si="3"/>
        <v>0.19864488536595598</v>
      </c>
      <c r="G6">
        <f t="shared" si="4"/>
        <v>0.54790736221741299</v>
      </c>
    </row>
    <row r="7" spans="1:7" x14ac:dyDescent="0.2">
      <c r="A7">
        <f t="shared" si="0"/>
        <v>0.48432248261890382</v>
      </c>
      <c r="B7">
        <v>140.066577896138</v>
      </c>
      <c r="C7">
        <v>90.371466615940605</v>
      </c>
      <c r="D7">
        <f t="shared" si="1"/>
        <v>1.106543954022331</v>
      </c>
      <c r="E7">
        <f t="shared" si="2"/>
        <v>0.1059676281492572</v>
      </c>
      <c r="F7">
        <f t="shared" si="3"/>
        <v>0.20549204605122426</v>
      </c>
      <c r="G7">
        <f t="shared" si="4"/>
        <v>0.51567751738109613</v>
      </c>
    </row>
    <row r="8" spans="1:7" x14ac:dyDescent="0.2">
      <c r="A8">
        <f t="shared" si="0"/>
        <v>0.50458124223030254</v>
      </c>
      <c r="B8">
        <v>145.925432756324</v>
      </c>
      <c r="C8">
        <v>96.660528818717793</v>
      </c>
      <c r="D8">
        <f t="shared" si="1"/>
        <v>1.0345484472523963</v>
      </c>
      <c r="E8">
        <f t="shared" si="2"/>
        <v>3.3972121379322484E-2</v>
      </c>
      <c r="F8">
        <f t="shared" si="3"/>
        <v>6.8572537568540981E-2</v>
      </c>
      <c r="G8">
        <f t="shared" si="4"/>
        <v>0.49541875776969746</v>
      </c>
    </row>
    <row r="9" spans="1:7" x14ac:dyDescent="0.2">
      <c r="A9">
        <f t="shared" si="0"/>
        <v>0.5193148855840487</v>
      </c>
      <c r="B9">
        <v>150.186418109187</v>
      </c>
      <c r="C9">
        <v>101.805820810348</v>
      </c>
      <c r="D9">
        <f t="shared" si="1"/>
        <v>0.9822621064692163</v>
      </c>
      <c r="E9">
        <f t="shared" si="2"/>
        <v>-1.8314219403857468E-2</v>
      </c>
      <c r="F9">
        <f t="shared" si="3"/>
        <v>-3.8100242455208676E-2</v>
      </c>
      <c r="G9">
        <f t="shared" si="4"/>
        <v>0.4806851144159513</v>
      </c>
    </row>
    <row r="10" spans="1:7" x14ac:dyDescent="0.2">
      <c r="A10">
        <f t="shared" si="0"/>
        <v>0.55430728854919697</v>
      </c>
      <c r="B10">
        <v>160.306258322237</v>
      </c>
      <c r="C10">
        <v>103.41160357618401</v>
      </c>
      <c r="D10">
        <f t="shared" si="1"/>
        <v>0.96700947032824369</v>
      </c>
      <c r="E10">
        <f t="shared" si="2"/>
        <v>-3.3566855544830076E-2</v>
      </c>
      <c r="F10">
        <f t="shared" si="3"/>
        <v>-7.5313898303529456E-2</v>
      </c>
      <c r="G10">
        <f t="shared" si="4"/>
        <v>0.44569271145080303</v>
      </c>
    </row>
    <row r="11" spans="1:7" x14ac:dyDescent="0.2">
      <c r="A11">
        <f t="shared" si="0"/>
        <v>0.59114139693356049</v>
      </c>
      <c r="B11">
        <v>170.95872170439401</v>
      </c>
      <c r="C11">
        <v>101.24626212668799</v>
      </c>
      <c r="D11">
        <f t="shared" si="1"/>
        <v>0.98769078383231013</v>
      </c>
      <c r="E11">
        <f t="shared" si="2"/>
        <v>-1.2885542040763642E-2</v>
      </c>
      <c r="F11">
        <f t="shared" si="3"/>
        <v>-3.1515888241367744E-2</v>
      </c>
      <c r="G11">
        <f t="shared" si="4"/>
        <v>0.40885860306643951</v>
      </c>
    </row>
    <row r="12" spans="1:7" x14ac:dyDescent="0.2">
      <c r="A12">
        <f t="shared" si="0"/>
        <v>0.62429209447948664</v>
      </c>
      <c r="B12">
        <v>180.545938748335</v>
      </c>
      <c r="C12">
        <v>102.280311964999</v>
      </c>
      <c r="D12">
        <f t="shared" si="1"/>
        <v>0.97770526975143235</v>
      </c>
      <c r="E12">
        <f t="shared" si="2"/>
        <v>-2.287105612164142E-2</v>
      </c>
      <c r="F12">
        <f t="shared" si="3"/>
        <v>-6.0874567145334339E-2</v>
      </c>
      <c r="G12">
        <f t="shared" si="4"/>
        <v>0.37570790552051336</v>
      </c>
    </row>
    <row r="13" spans="1:7" x14ac:dyDescent="0.2">
      <c r="A13">
        <f t="shared" si="0"/>
        <v>0.66020535015424076</v>
      </c>
      <c r="B13">
        <v>190.932090545938</v>
      </c>
      <c r="C13">
        <v>101.486246908883</v>
      </c>
      <c r="D13">
        <f t="shared" si="1"/>
        <v>0.98535518896252605</v>
      </c>
      <c r="E13">
        <f t="shared" si="2"/>
        <v>-1.5221136910547717E-2</v>
      </c>
      <c r="F13">
        <f t="shared" si="3"/>
        <v>-4.4795104682951739E-2</v>
      </c>
      <c r="G13">
        <f t="shared" si="4"/>
        <v>0.33979464984575924</v>
      </c>
    </row>
    <row r="14" spans="1:7" x14ac:dyDescent="0.2">
      <c r="A14">
        <f t="shared" si="0"/>
        <v>0.69151434228095177</v>
      </c>
      <c r="B14">
        <v>199.98668442077201</v>
      </c>
      <c r="C14">
        <v>99.891420962526098</v>
      </c>
      <c r="D14">
        <f t="shared" si="1"/>
        <v>1.001086970596951</v>
      </c>
      <c r="E14">
        <f t="shared" si="2"/>
        <v>5.1064472387718496E-4</v>
      </c>
      <c r="F14">
        <f t="shared" si="3"/>
        <v>1.6553272772968008E-3</v>
      </c>
      <c r="G14">
        <f t="shared" si="4"/>
        <v>0.30848565771904823</v>
      </c>
    </row>
    <row r="15" spans="1:7" x14ac:dyDescent="0.2">
      <c r="A15">
        <f t="shared" si="0"/>
        <v>0.72834845066531517</v>
      </c>
      <c r="B15">
        <v>210.63914780292899</v>
      </c>
      <c r="C15">
        <v>102.983222370173</v>
      </c>
      <c r="D15">
        <f t="shared" si="1"/>
        <v>0.97103195742458126</v>
      </c>
      <c r="E15">
        <f t="shared" si="2"/>
        <v>-2.9544368448492508E-2</v>
      </c>
      <c r="F15">
        <f t="shared" si="3"/>
        <v>-0.10875832853098417</v>
      </c>
      <c r="G15">
        <f t="shared" si="4"/>
        <v>0.27165154933468483</v>
      </c>
    </row>
    <row r="16" spans="1:7" x14ac:dyDescent="0.2">
      <c r="A16">
        <f t="shared" si="0"/>
        <v>0.76149914821124143</v>
      </c>
      <c r="B16">
        <v>220.22636484687001</v>
      </c>
      <c r="C16">
        <v>100.931557922769</v>
      </c>
      <c r="D16">
        <f t="shared" si="1"/>
        <v>0.99077039984380499</v>
      </c>
      <c r="E16">
        <f t="shared" si="2"/>
        <v>-9.8059260292687744E-3</v>
      </c>
      <c r="F16">
        <f t="shared" si="3"/>
        <v>-4.1114846994147983E-2</v>
      </c>
      <c r="G16">
        <f t="shared" si="4"/>
        <v>0.23850085178875857</v>
      </c>
    </row>
    <row r="17" spans="1:7" x14ac:dyDescent="0.2">
      <c r="A17">
        <f t="shared" si="0"/>
        <v>0.7964915511763897</v>
      </c>
      <c r="B17">
        <v>230.34620505992001</v>
      </c>
      <c r="C17">
        <v>100.48019783146199</v>
      </c>
      <c r="D17">
        <f t="shared" si="1"/>
        <v>0.99522097048149283</v>
      </c>
      <c r="E17">
        <f t="shared" si="2"/>
        <v>-5.3553553915809404E-3</v>
      </c>
      <c r="F17">
        <f t="shared" si="3"/>
        <v>-2.6315150169625941E-2</v>
      </c>
      <c r="G17">
        <f t="shared" si="4"/>
        <v>0.2035084488236103</v>
      </c>
    </row>
    <row r="18" spans="1:7" x14ac:dyDescent="0.2">
      <c r="A18">
        <f t="shared" si="0"/>
        <v>0.83240480685114382</v>
      </c>
      <c r="B18">
        <v>240.732356857523</v>
      </c>
      <c r="C18">
        <v>101.400418489632</v>
      </c>
      <c r="D18">
        <f t="shared" si="1"/>
        <v>0.98618922376760032</v>
      </c>
      <c r="E18">
        <f t="shared" si="2"/>
        <v>-1.4387102105473448E-2</v>
      </c>
      <c r="F18">
        <f t="shared" si="3"/>
        <v>-8.5844360062850872E-2</v>
      </c>
      <c r="G18">
        <f t="shared" si="4"/>
        <v>0.16759519314885618</v>
      </c>
    </row>
    <row r="19" spans="1:7" x14ac:dyDescent="0.2">
      <c r="A19">
        <f t="shared" si="0"/>
        <v>0.89686449652378086</v>
      </c>
      <c r="B19">
        <v>259.37416777629801</v>
      </c>
      <c r="C19">
        <v>101.639642381586</v>
      </c>
      <c r="D19">
        <f t="shared" si="1"/>
        <v>0.98386808194945941</v>
      </c>
      <c r="E19">
        <f t="shared" si="2"/>
        <v>-1.6708243923614363E-2</v>
      </c>
      <c r="F19">
        <f t="shared" si="3"/>
        <v>-0.16200283472186597</v>
      </c>
      <c r="G19">
        <f t="shared" si="4"/>
        <v>0.10313550347621914</v>
      </c>
    </row>
    <row r="20" spans="1:7" x14ac:dyDescent="0.2">
      <c r="A20">
        <f t="shared" si="0"/>
        <v>0.93830286845619115</v>
      </c>
      <c r="B20">
        <v>271.35818908122502</v>
      </c>
      <c r="C20">
        <v>101.760776108046</v>
      </c>
      <c r="D20">
        <f t="shared" si="1"/>
        <v>0.98269690763584128</v>
      </c>
      <c r="E20">
        <f t="shared" si="2"/>
        <v>-1.7879418237232492E-2</v>
      </c>
      <c r="F20">
        <f t="shared" si="3"/>
        <v>-0.28979334678690821</v>
      </c>
      <c r="G20">
        <f t="shared" si="4"/>
        <v>6.1697131543808847E-2</v>
      </c>
    </row>
    <row r="21" spans="1:7" x14ac:dyDescent="0.2">
      <c r="A21">
        <f t="shared" si="0"/>
        <v>0.9714535660021173</v>
      </c>
      <c r="B21">
        <v>280.94540612516602</v>
      </c>
      <c r="C21">
        <v>101.766254517785</v>
      </c>
      <c r="D21">
        <f t="shared" si="1"/>
        <v>0.98264400585288003</v>
      </c>
      <c r="E21">
        <f t="shared" si="2"/>
        <v>-1.7932320020193737E-2</v>
      </c>
      <c r="F21">
        <f t="shared" si="3"/>
        <v>-0.62818073954609466</v>
      </c>
      <c r="G21">
        <f t="shared" si="4"/>
        <v>2.8546433997882703E-2</v>
      </c>
    </row>
    <row r="22" spans="1:7" x14ac:dyDescent="0.2">
      <c r="A22">
        <f t="shared" si="0"/>
        <v>1</v>
      </c>
      <c r="B22">
        <v>289.20106524633798</v>
      </c>
      <c r="C22">
        <v>99.942400608712106</v>
      </c>
      <c r="D22">
        <f t="shared" si="1"/>
        <v>1.0005763258730738</v>
      </c>
      <c r="E22">
        <f t="shared" si="2"/>
        <v>0</v>
      </c>
      <c r="F22">
        <f t="shared" si="3"/>
        <v>0</v>
      </c>
      <c r="G22">
        <f t="shared" si="4"/>
        <v>0</v>
      </c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B1051-F995-914C-8EAE-FF988C233AE2}">
  <dimension ref="A1:E19"/>
  <sheetViews>
    <sheetView workbookViewId="0">
      <selection activeCell="C2" sqref="C2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10</v>
      </c>
      <c r="C1" t="s">
        <v>7</v>
      </c>
      <c r="D1" t="s">
        <v>8</v>
      </c>
      <c r="E1" t="s">
        <v>9</v>
      </c>
    </row>
    <row r="2" spans="1:5" x14ac:dyDescent="0.2">
      <c r="A2">
        <v>89.950509289999999</v>
      </c>
      <c r="B2">
        <v>44.195458700000003</v>
      </c>
      <c r="C2">
        <v>3183.3026220000002</v>
      </c>
      <c r="D2">
        <v>15.954778989999999</v>
      </c>
      <c r="E2">
        <v>199.52032080000001</v>
      </c>
    </row>
    <row r="3" spans="1:5" x14ac:dyDescent="0.2">
      <c r="A3">
        <v>100.6070861</v>
      </c>
      <c r="B3">
        <v>53.465026559999998</v>
      </c>
      <c r="C3">
        <v>2223.2353069999999</v>
      </c>
      <c r="D3">
        <v>11.77163631</v>
      </c>
      <c r="E3">
        <v>188.863744</v>
      </c>
    </row>
    <row r="4" spans="1:5" x14ac:dyDescent="0.2">
      <c r="A4">
        <v>110.9870224</v>
      </c>
      <c r="B4">
        <v>61.411119759999998</v>
      </c>
      <c r="C4">
        <v>1537.0401039999999</v>
      </c>
      <c r="D4">
        <v>8.6116501220000004</v>
      </c>
      <c r="E4">
        <v>178.4838077</v>
      </c>
    </row>
    <row r="5" spans="1:5" x14ac:dyDescent="0.2">
      <c r="A5">
        <v>119.6889276</v>
      </c>
      <c r="B5">
        <v>66.589286319999999</v>
      </c>
      <c r="C5">
        <v>1157.832406</v>
      </c>
      <c r="D5">
        <v>6.8195278129999997</v>
      </c>
      <c r="E5">
        <v>169.7819025</v>
      </c>
    </row>
    <row r="6" spans="1:5" x14ac:dyDescent="0.2">
      <c r="A6">
        <v>137.67478259999999</v>
      </c>
      <c r="B6">
        <v>71.412134949999995</v>
      </c>
      <c r="C6">
        <v>852.87874720000002</v>
      </c>
      <c r="D6">
        <v>5.618583364</v>
      </c>
      <c r="E6">
        <v>151.79604749999999</v>
      </c>
    </row>
    <row r="7" spans="1:5" x14ac:dyDescent="0.2">
      <c r="A7">
        <v>156.2164563</v>
      </c>
      <c r="B7">
        <v>78.160129940000004</v>
      </c>
      <c r="C7">
        <v>504.27610650000003</v>
      </c>
      <c r="D7">
        <v>3.7843118549999999</v>
      </c>
      <c r="E7">
        <v>133.2543738</v>
      </c>
    </row>
    <row r="8" spans="1:5" x14ac:dyDescent="0.2">
      <c r="A8">
        <v>170.2595513</v>
      </c>
      <c r="B8">
        <v>84.303915270000005</v>
      </c>
      <c r="C8">
        <v>266.09137700000002</v>
      </c>
      <c r="D8">
        <v>2.2320990059999999</v>
      </c>
      <c r="E8">
        <v>119.2112788</v>
      </c>
    </row>
    <row r="9" spans="1:5" x14ac:dyDescent="0.2">
      <c r="A9">
        <v>180.65090860000001</v>
      </c>
      <c r="B9">
        <v>89.00189503</v>
      </c>
      <c r="C9">
        <v>134.89260949999999</v>
      </c>
      <c r="D9">
        <v>1.239594807</v>
      </c>
      <c r="E9">
        <v>108.81992150000001</v>
      </c>
    </row>
    <row r="10" spans="1:5" x14ac:dyDescent="0.2">
      <c r="A10">
        <v>192.18435919999999</v>
      </c>
      <c r="B10">
        <v>88.888531689999994</v>
      </c>
      <c r="C10">
        <v>137.5387388</v>
      </c>
      <c r="D10">
        <v>1.413749903</v>
      </c>
      <c r="E10">
        <v>97.286470899999998</v>
      </c>
    </row>
    <row r="11" spans="1:5" x14ac:dyDescent="0.2">
      <c r="A11">
        <v>200.3418666</v>
      </c>
      <c r="B11">
        <v>88.893438459999999</v>
      </c>
      <c r="C11">
        <v>137.4236727</v>
      </c>
      <c r="D11">
        <v>1.5418520229999999</v>
      </c>
      <c r="E11">
        <v>89.128963499999998</v>
      </c>
    </row>
    <row r="12" spans="1:5" x14ac:dyDescent="0.2">
      <c r="A12">
        <v>209.88765190000001</v>
      </c>
      <c r="B12">
        <v>94.072112619999999</v>
      </c>
      <c r="C12">
        <v>42.825378049999998</v>
      </c>
      <c r="D12">
        <v>0.538120983</v>
      </c>
      <c r="E12">
        <v>79.583178200000006</v>
      </c>
    </row>
    <row r="13" spans="1:5" x14ac:dyDescent="0.2">
      <c r="A13">
        <v>219.73313089999999</v>
      </c>
      <c r="B13">
        <v>94.017884339999995</v>
      </c>
      <c r="C13">
        <v>43.538070429999998</v>
      </c>
      <c r="D13">
        <v>0.62431182699999999</v>
      </c>
      <c r="E13">
        <v>69.737699199999994</v>
      </c>
    </row>
    <row r="14" spans="1:5" x14ac:dyDescent="0.2">
      <c r="A14">
        <v>230.40176310000001</v>
      </c>
      <c r="B14">
        <v>99.858888019999995</v>
      </c>
      <c r="C14">
        <v>0.57355596900000005</v>
      </c>
      <c r="D14">
        <v>9.7099209999999998E-3</v>
      </c>
      <c r="E14">
        <v>59.069066999999997</v>
      </c>
    </row>
    <row r="15" spans="1:5" x14ac:dyDescent="0.2">
      <c r="A15">
        <v>241.9356367</v>
      </c>
      <c r="B15">
        <v>99.625224189999997</v>
      </c>
      <c r="C15">
        <v>0.98207824499999996</v>
      </c>
      <c r="D15">
        <v>2.0660023999999999E-2</v>
      </c>
      <c r="E15">
        <v>47.535193399999997</v>
      </c>
    </row>
    <row r="16" spans="1:5" x14ac:dyDescent="0.2">
      <c r="A16">
        <v>258.81112309999997</v>
      </c>
      <c r="B16">
        <v>100.2368786</v>
      </c>
      <c r="C16">
        <v>0.14390202199999999</v>
      </c>
      <c r="D16">
        <v>4.6935220000000003E-3</v>
      </c>
      <c r="E16">
        <v>30.659707000000001</v>
      </c>
    </row>
    <row r="17" spans="1:5" x14ac:dyDescent="0.2">
      <c r="A17">
        <v>269.78367909999997</v>
      </c>
      <c r="B17">
        <v>99.64197489</v>
      </c>
      <c r="C17">
        <v>0.94915899000000004</v>
      </c>
      <c r="D17">
        <v>4.8212104999999998E-2</v>
      </c>
      <c r="E17">
        <v>19.687151</v>
      </c>
    </row>
    <row r="18" spans="1:5" x14ac:dyDescent="0.2">
      <c r="A18">
        <v>279.46461199999999</v>
      </c>
      <c r="B18">
        <v>100</v>
      </c>
      <c r="C18">
        <v>0.37973053899999998</v>
      </c>
      <c r="D18">
        <v>3.7949456999999999E-2</v>
      </c>
      <c r="E18">
        <v>10.0062181</v>
      </c>
    </row>
    <row r="19" spans="1:5" x14ac:dyDescent="0.2">
      <c r="A19">
        <v>289.4708301</v>
      </c>
      <c r="B19">
        <v>100.6162228</v>
      </c>
      <c r="C19">
        <v>0</v>
      </c>
      <c r="E19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258CC-0796-9B4C-A063-C58FA61FB692}">
  <dimension ref="A1:E17"/>
  <sheetViews>
    <sheetView workbookViewId="0">
      <selection activeCell="A2" sqref="A2:B17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6</v>
      </c>
      <c r="C1" t="s">
        <v>7</v>
      </c>
      <c r="D1" t="s">
        <v>8</v>
      </c>
      <c r="E1" t="s">
        <v>9</v>
      </c>
    </row>
    <row r="2" spans="1:5" x14ac:dyDescent="0.2">
      <c r="A2">
        <v>89.975889140000007</v>
      </c>
      <c r="B2">
        <v>36.977428850000003</v>
      </c>
      <c r="C2">
        <v>4034.6205049999999</v>
      </c>
      <c r="D2">
        <v>20.195655290000001</v>
      </c>
      <c r="E2">
        <v>199.77665730000001</v>
      </c>
    </row>
    <row r="3" spans="1:5" x14ac:dyDescent="0.2">
      <c r="A3">
        <v>100.3452506</v>
      </c>
      <c r="B3">
        <v>47.931034480000001</v>
      </c>
      <c r="C3">
        <v>2763.0852199999999</v>
      </c>
      <c r="D3">
        <v>14.58806118</v>
      </c>
      <c r="E3">
        <v>189.40729590000001</v>
      </c>
    </row>
    <row r="4" spans="1:5" x14ac:dyDescent="0.2">
      <c r="A4">
        <v>113.8223749</v>
      </c>
      <c r="B4">
        <v>55.036885380000001</v>
      </c>
      <c r="C4">
        <v>2066.5394209999999</v>
      </c>
      <c r="D4">
        <v>11.746361650000001</v>
      </c>
      <c r="E4">
        <v>175.93017159999999</v>
      </c>
    </row>
    <row r="5" spans="1:5" x14ac:dyDescent="0.2">
      <c r="A5">
        <v>120.8415959</v>
      </c>
      <c r="B5">
        <v>58.770430779999998</v>
      </c>
      <c r="C5">
        <v>1741.030763</v>
      </c>
      <c r="D5">
        <v>10.307388339999999</v>
      </c>
      <c r="E5">
        <v>168.91095060000001</v>
      </c>
    </row>
    <row r="6" spans="1:5" x14ac:dyDescent="0.2">
      <c r="A6">
        <v>142.47030559999999</v>
      </c>
      <c r="B6">
        <v>67.565395420000002</v>
      </c>
      <c r="C6">
        <v>1084.4307449999999</v>
      </c>
      <c r="D6">
        <v>7.3629430009999997</v>
      </c>
      <c r="E6">
        <v>147.28224090000001</v>
      </c>
    </row>
    <row r="7" spans="1:5" x14ac:dyDescent="0.2">
      <c r="A7">
        <v>164.09901529999999</v>
      </c>
      <c r="B7">
        <v>76.360360060000005</v>
      </c>
      <c r="C7">
        <v>582.53353249999998</v>
      </c>
      <c r="D7">
        <v>4.6360299390000002</v>
      </c>
      <c r="E7">
        <v>125.6535312</v>
      </c>
    </row>
    <row r="8" spans="1:5" x14ac:dyDescent="0.2">
      <c r="A8">
        <v>179.55153799999999</v>
      </c>
      <c r="B8">
        <v>81.662887889999993</v>
      </c>
      <c r="C8">
        <v>354.68955840000001</v>
      </c>
      <c r="D8">
        <v>3.2185690810000001</v>
      </c>
      <c r="E8">
        <v>110.20100840000001</v>
      </c>
    </row>
    <row r="9" spans="1:5" x14ac:dyDescent="0.2">
      <c r="A9">
        <v>200.91502829999999</v>
      </c>
      <c r="B9">
        <v>85.886264420000003</v>
      </c>
      <c r="C9">
        <v>213.44704730000001</v>
      </c>
      <c r="D9">
        <v>2.4026678320000001</v>
      </c>
      <c r="E9">
        <v>88.837518189999997</v>
      </c>
    </row>
    <row r="10" spans="1:5" x14ac:dyDescent="0.2">
      <c r="A10">
        <v>210.18544209999999</v>
      </c>
      <c r="B10">
        <v>89.380562420000004</v>
      </c>
      <c r="C10">
        <v>123.55498679999999</v>
      </c>
      <c r="D10">
        <v>1.5528400570000001</v>
      </c>
      <c r="E10">
        <v>79.567104330000006</v>
      </c>
    </row>
    <row r="11" spans="1:5" x14ac:dyDescent="0.2">
      <c r="A11">
        <v>220.5886434</v>
      </c>
      <c r="B11">
        <v>90.710128249999997</v>
      </c>
      <c r="C11">
        <v>95.765076730000004</v>
      </c>
      <c r="D11">
        <v>1.3846106490000001</v>
      </c>
      <c r="E11">
        <v>69.163903079999997</v>
      </c>
    </row>
    <row r="12" spans="1:5" x14ac:dyDescent="0.2">
      <c r="A12">
        <v>230.14373459999999</v>
      </c>
      <c r="B12">
        <v>93.242191469999995</v>
      </c>
      <c r="C12">
        <v>52.619065749999997</v>
      </c>
      <c r="D12">
        <v>0.88273971699999998</v>
      </c>
      <c r="E12">
        <v>59.608811879999998</v>
      </c>
    </row>
    <row r="13" spans="1:5" x14ac:dyDescent="0.2">
      <c r="A13">
        <v>239.70855470000001</v>
      </c>
      <c r="B13">
        <v>93.007343239999997</v>
      </c>
      <c r="C13">
        <v>56.08135059</v>
      </c>
      <c r="D13">
        <v>1.1206410330000001</v>
      </c>
      <c r="E13">
        <v>50.043991740000003</v>
      </c>
    </row>
    <row r="14" spans="1:5" x14ac:dyDescent="0.2">
      <c r="A14">
        <v>252.6370512</v>
      </c>
      <c r="B14">
        <v>96.142939330000004</v>
      </c>
      <c r="C14">
        <v>18.94993388</v>
      </c>
      <c r="D14">
        <v>0.51056664500000004</v>
      </c>
      <c r="E14">
        <v>37.115495250000002</v>
      </c>
    </row>
    <row r="15" spans="1:5" x14ac:dyDescent="0.2">
      <c r="A15">
        <v>269.78790900000001</v>
      </c>
      <c r="B15">
        <v>98.438969920000005</v>
      </c>
      <c r="C15">
        <v>4.2317492210000003</v>
      </c>
      <c r="D15">
        <v>0.211962238</v>
      </c>
      <c r="E15">
        <v>19.964637410000002</v>
      </c>
    </row>
    <row r="16" spans="1:5" x14ac:dyDescent="0.2">
      <c r="A16">
        <v>280.47747959999998</v>
      </c>
      <c r="B16">
        <v>98.325098980000007</v>
      </c>
      <c r="C16">
        <v>4.713208528</v>
      </c>
      <c r="D16">
        <v>0.50815898299999995</v>
      </c>
      <c r="E16">
        <v>9.2750668340000004</v>
      </c>
    </row>
    <row r="17" spans="1:5" x14ac:dyDescent="0.2">
      <c r="A17">
        <v>289.75254640000003</v>
      </c>
      <c r="B17">
        <v>100.49609150000001</v>
      </c>
      <c r="C17">
        <v>0</v>
      </c>
      <c r="E17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62D93-16FF-6A4F-83BF-87D1C92809BA}">
  <dimension ref="A1:B18"/>
  <sheetViews>
    <sheetView workbookViewId="0"/>
  </sheetViews>
  <sheetFormatPr baseColWidth="10" defaultColWidth="11" defaultRowHeight="16" x14ac:dyDescent="0.2"/>
  <sheetData>
    <row r="1" spans="1:2" x14ac:dyDescent="0.2">
      <c r="A1">
        <v>90.438801725346494</v>
      </c>
      <c r="B1">
        <v>84.5605701145072</v>
      </c>
    </row>
    <row r="2" spans="1:2" x14ac:dyDescent="0.2">
      <c r="A2">
        <v>98.545162893760804</v>
      </c>
      <c r="B2">
        <v>88.349632116644699</v>
      </c>
    </row>
    <row r="3" spans="1:2" x14ac:dyDescent="0.2">
      <c r="A3">
        <v>110.580347144966</v>
      </c>
      <c r="B3">
        <v>95.930086686100097</v>
      </c>
    </row>
    <row r="4" spans="1:2" x14ac:dyDescent="0.2">
      <c r="A4">
        <v>120.761639625434</v>
      </c>
      <c r="B4">
        <v>95.478102701452698</v>
      </c>
    </row>
    <row r="5" spans="1:2" x14ac:dyDescent="0.2">
      <c r="A5">
        <v>130.17530219965201</v>
      </c>
      <c r="B5">
        <v>99.824315441997101</v>
      </c>
    </row>
    <row r="6" spans="1:2" x14ac:dyDescent="0.2">
      <c r="A6">
        <v>140.62206062018501</v>
      </c>
      <c r="B6">
        <v>100.711095493087</v>
      </c>
    </row>
    <row r="7" spans="1:2" x14ac:dyDescent="0.2">
      <c r="A7">
        <v>150.80007574336801</v>
      </c>
      <c r="B7">
        <v>99.254929236393906</v>
      </c>
    </row>
    <row r="8" spans="1:2" x14ac:dyDescent="0.2">
      <c r="A8">
        <v>160.471192939844</v>
      </c>
      <c r="B8">
        <v>102.48523823656301</v>
      </c>
    </row>
    <row r="9" spans="1:2" x14ac:dyDescent="0.2">
      <c r="A9">
        <v>170.65649107921499</v>
      </c>
      <c r="B9">
        <v>103.260588139972</v>
      </c>
    </row>
    <row r="10" spans="1:2" x14ac:dyDescent="0.2">
      <c r="A10">
        <v>182.40290373855399</v>
      </c>
      <c r="B10">
        <v>102.361426961361</v>
      </c>
    </row>
    <row r="11" spans="1:2" x14ac:dyDescent="0.2">
      <c r="A11">
        <v>200.41453107389799</v>
      </c>
      <c r="B11">
        <v>101.124042510965</v>
      </c>
    </row>
    <row r="12" spans="1:2" x14ac:dyDescent="0.2">
      <c r="A12">
        <v>211.12384222802001</v>
      </c>
      <c r="B12">
        <v>102.456980133752</v>
      </c>
    </row>
    <row r="13" spans="1:2" x14ac:dyDescent="0.2">
      <c r="A13">
        <v>230.43694455621801</v>
      </c>
      <c r="B13">
        <v>99.991533493681004</v>
      </c>
    </row>
    <row r="14" spans="1:2" x14ac:dyDescent="0.2">
      <c r="A14">
        <v>240.88843693727301</v>
      </c>
      <c r="B14">
        <v>102.32879904883799</v>
      </c>
    </row>
    <row r="15" spans="1:2" x14ac:dyDescent="0.2">
      <c r="A15">
        <v>250.81118234305501</v>
      </c>
      <c r="B15">
        <v>102.65799138055</v>
      </c>
    </row>
    <row r="16" spans="1:2" x14ac:dyDescent="0.2">
      <c r="A16">
        <v>262.298683776899</v>
      </c>
      <c r="B16">
        <v>102.42843071029399</v>
      </c>
    </row>
    <row r="17" spans="1:2" x14ac:dyDescent="0.2">
      <c r="A17">
        <v>278.48300235059298</v>
      </c>
      <c r="B17">
        <v>101.303641690169</v>
      </c>
    </row>
    <row r="18" spans="1:2" x14ac:dyDescent="0.2">
      <c r="A18">
        <v>289.70649444761</v>
      </c>
      <c r="B18">
        <v>100.18162021619599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D0987-65F8-5440-830D-42041B7FD317}">
  <dimension ref="A1:B14"/>
  <sheetViews>
    <sheetView workbookViewId="0"/>
  </sheetViews>
  <sheetFormatPr baseColWidth="10" defaultColWidth="11" defaultRowHeight="16" x14ac:dyDescent="0.2"/>
  <sheetData>
    <row r="1" spans="1:2" x14ac:dyDescent="0.2">
      <c r="A1">
        <v>90.454824360960799</v>
      </c>
      <c r="B1">
        <v>89.469905666732799</v>
      </c>
    </row>
    <row r="2" spans="1:2" x14ac:dyDescent="0.2">
      <c r="A2">
        <v>100.93253560029299</v>
      </c>
      <c r="B2">
        <v>99.840629398258997</v>
      </c>
    </row>
    <row r="3" spans="1:2" x14ac:dyDescent="0.2">
      <c r="A3">
        <v>112.159669205404</v>
      </c>
      <c r="B3">
        <v>99.834366004336999</v>
      </c>
    </row>
    <row r="4" spans="1:2" x14ac:dyDescent="0.2">
      <c r="A4">
        <v>137.74599752741599</v>
      </c>
      <c r="B4">
        <v>99.485363868592501</v>
      </c>
    </row>
    <row r="5" spans="1:2" x14ac:dyDescent="0.2">
      <c r="A5">
        <v>160.98391727950201</v>
      </c>
      <c r="B5">
        <v>99.583975907782403</v>
      </c>
    </row>
    <row r="6" spans="1:2" x14ac:dyDescent="0.2">
      <c r="A6">
        <v>170.91212494742501</v>
      </c>
      <c r="B6">
        <v>101.586805359571</v>
      </c>
    </row>
    <row r="7" spans="1:2" x14ac:dyDescent="0.2">
      <c r="A7">
        <v>181.08904761817999</v>
      </c>
      <c r="B7">
        <v>99.795911678862595</v>
      </c>
    </row>
    <row r="8" spans="1:2" x14ac:dyDescent="0.2">
      <c r="A8">
        <v>200.67125739453701</v>
      </c>
      <c r="B8">
        <v>99.784987154580193</v>
      </c>
    </row>
    <row r="9" spans="1:2" x14ac:dyDescent="0.2">
      <c r="A9">
        <v>210.32125384406601</v>
      </c>
      <c r="B9">
        <v>96.543899290452103</v>
      </c>
    </row>
    <row r="10" spans="1:2" x14ac:dyDescent="0.2">
      <c r="A10">
        <v>221.299308295537</v>
      </c>
      <c r="B10">
        <v>100.21978322102299</v>
      </c>
    </row>
    <row r="11" spans="1:2" x14ac:dyDescent="0.2">
      <c r="A11">
        <v>244.79577512230901</v>
      </c>
      <c r="B11">
        <v>99.537218943853404</v>
      </c>
    </row>
    <row r="12" spans="1:2" x14ac:dyDescent="0.2">
      <c r="A12">
        <v>261.24592378687697</v>
      </c>
      <c r="B12">
        <v>99.862769767471505</v>
      </c>
    </row>
    <row r="13" spans="1:2" x14ac:dyDescent="0.2">
      <c r="A13">
        <v>280.30557715172102</v>
      </c>
      <c r="B13">
        <v>99.740560755831396</v>
      </c>
    </row>
    <row r="14" spans="1:2" x14ac:dyDescent="0.2">
      <c r="A14">
        <v>289.96686227634302</v>
      </c>
      <c r="B14">
        <v>99.958322939862299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C1098-3140-1445-8A34-58E60970723E}">
  <dimension ref="A1:B16"/>
  <sheetViews>
    <sheetView workbookViewId="0"/>
  </sheetViews>
  <sheetFormatPr baseColWidth="10" defaultColWidth="11" defaultRowHeight="16" x14ac:dyDescent="0.2"/>
  <sheetData>
    <row r="1" spans="1:2" x14ac:dyDescent="0.2">
      <c r="A1">
        <v>90.455552662579606</v>
      </c>
      <c r="B1">
        <v>89.693057282742998</v>
      </c>
    </row>
    <row r="2" spans="1:2" x14ac:dyDescent="0.2">
      <c r="A2">
        <v>100.673624374798</v>
      </c>
      <c r="B2">
        <v>100.51022990661301</v>
      </c>
    </row>
    <row r="3" spans="1:2" x14ac:dyDescent="0.2">
      <c r="A3">
        <v>111.11965449371201</v>
      </c>
      <c r="B3">
        <v>101.17385834169301</v>
      </c>
    </row>
    <row r="4" spans="1:2" x14ac:dyDescent="0.2">
      <c r="A4">
        <v>120.515473678269</v>
      </c>
      <c r="B4">
        <v>100.052856489986</v>
      </c>
    </row>
    <row r="5" spans="1:2" x14ac:dyDescent="0.2">
      <c r="A5">
        <v>131.22259992753399</v>
      </c>
      <c r="B5">
        <v>100.716339264743</v>
      </c>
    </row>
    <row r="6" spans="1:2" x14ac:dyDescent="0.2">
      <c r="A6">
        <v>139.83513072103599</v>
      </c>
      <c r="B6">
        <v>99.595774394007506</v>
      </c>
    </row>
    <row r="7" spans="1:2" x14ac:dyDescent="0.2">
      <c r="A7">
        <v>160.20572699977899</v>
      </c>
      <c r="B7">
        <v>101.146474200825</v>
      </c>
    </row>
    <row r="8" spans="1:2" x14ac:dyDescent="0.2">
      <c r="A8">
        <v>170.906662685284</v>
      </c>
      <c r="B8">
        <v>99.913168239494695</v>
      </c>
    </row>
    <row r="9" spans="1:2" x14ac:dyDescent="0.2">
      <c r="A9">
        <v>182.13525289363301</v>
      </c>
      <c r="B9">
        <v>100.353208077593</v>
      </c>
    </row>
    <row r="10" spans="1:2" x14ac:dyDescent="0.2">
      <c r="A10">
        <v>182.13525289363301</v>
      </c>
      <c r="B10">
        <v>100.353208077593</v>
      </c>
    </row>
    <row r="11" spans="1:2" x14ac:dyDescent="0.2">
      <c r="A11">
        <v>203.54367897921199</v>
      </c>
      <c r="B11">
        <v>99.894960699023898</v>
      </c>
    </row>
    <row r="12" spans="1:2" x14ac:dyDescent="0.2">
      <c r="A12">
        <v>223.908812995814</v>
      </c>
      <c r="B12">
        <v>99.772023385764896</v>
      </c>
    </row>
    <row r="13" spans="1:2" x14ac:dyDescent="0.2">
      <c r="A13">
        <v>250.01879018176501</v>
      </c>
      <c r="B13">
        <v>99.869033161393403</v>
      </c>
    </row>
    <row r="14" spans="1:2" x14ac:dyDescent="0.2">
      <c r="A14">
        <v>262.55286104187098</v>
      </c>
      <c r="B14">
        <v>100.308344697873</v>
      </c>
    </row>
    <row r="15" spans="1:2" x14ac:dyDescent="0.2">
      <c r="A15">
        <v>279.00337385724902</v>
      </c>
      <c r="B15">
        <v>100.745471329496</v>
      </c>
    </row>
    <row r="16" spans="1:2" x14ac:dyDescent="0.2">
      <c r="A16">
        <v>289.96686227634302</v>
      </c>
      <c r="B16">
        <v>99.958322939862299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hpcg</vt:lpstr>
      <vt:lpstr>comd</vt:lpstr>
      <vt:lpstr>xsbench</vt:lpstr>
      <vt:lpstr>minimd</vt:lpstr>
      <vt:lpstr>minife</vt:lpstr>
      <vt:lpstr>swfft</vt:lpstr>
      <vt:lpstr>simple_moc</vt:lpstr>
      <vt:lpstr>rsbench</vt:lpstr>
      <vt:lpstr>aspa</vt:lpstr>
      <vt:lpstr>cohmm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Bin Rahim, Imtiaz</cp:lastModifiedBy>
  <cp:revision/>
  <dcterms:created xsi:type="dcterms:W3CDTF">2021-07-13T15:36:02Z</dcterms:created>
  <dcterms:modified xsi:type="dcterms:W3CDTF">2026-03-08T09:20:19Z</dcterms:modified>
  <cp:category/>
  <cp:contentStatus/>
</cp:coreProperties>
</file>