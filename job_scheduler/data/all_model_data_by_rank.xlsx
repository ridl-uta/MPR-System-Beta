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mtiazevan/Desktop/Projects/temp/MPR_System_Beta/job_scheduler/data/"/>
    </mc:Choice>
  </mc:AlternateContent>
  <xr:revisionPtr revIDLastSave="0" documentId="13_ncr:1_{2B757AAC-EE3A-D64F-AB34-94208705006C}" xr6:coauthVersionLast="47" xr6:coauthVersionMax="47" xr10:uidLastSave="{00000000-0000-0000-0000-000000000000}"/>
  <bookViews>
    <workbookView xWindow="2140" yWindow="580" windowWidth="28800" windowHeight="16300" xr2:uid="{15444B7F-6FA5-5E4D-9AAE-4CEB8B7D2F02}"/>
  </bookViews>
  <sheets>
    <sheet name="comd" sheetId="16" r:id="rId1"/>
    <sheet name="xsbench_rank2" sheetId="15" r:id="rId2"/>
    <sheet name="xsbench_rank4" sheetId="17" r:id="rId3"/>
    <sheet name="minimd" sheetId="14" r:id="rId4"/>
    <sheet name="hpccg" sheetId="13" r:id="rId5"/>
    <sheet name="minife" sheetId="6" r:id="rId6"/>
    <sheet name="swfft" sheetId="5" r:id="rId7"/>
    <sheet name="simple_moc" sheetId="4" r:id="rId8"/>
    <sheet name="rsbench" sheetId="9" r:id="rId9"/>
    <sheet name="aspa" sheetId="10" r:id="rId10"/>
    <sheet name="cohmm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7" l="1"/>
  <c r="D10" i="17"/>
  <c r="D9" i="17"/>
  <c r="D4" i="17"/>
  <c r="D2" i="17"/>
  <c r="D12" i="17"/>
  <c r="A16" i="17"/>
  <c r="G16" i="17" s="1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A2" i="17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G16" i="13" s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6" i="16"/>
  <c r="A16" i="16"/>
  <c r="G16" i="16" s="1"/>
  <c r="D15" i="16"/>
  <c r="A15" i="16"/>
  <c r="G15" i="16" s="1"/>
  <c r="D14" i="16"/>
  <c r="A14" i="16"/>
  <c r="D13" i="16"/>
  <c r="A13" i="16"/>
  <c r="D12" i="16"/>
  <c r="A12" i="16"/>
  <c r="D11" i="16"/>
  <c r="A11" i="16"/>
  <c r="D10" i="16"/>
  <c r="A10" i="16"/>
  <c r="D9" i="16"/>
  <c r="E9" i="16" s="1"/>
  <c r="A9" i="16"/>
  <c r="D8" i="16"/>
  <c r="A8" i="16"/>
  <c r="D7" i="16"/>
  <c r="A7" i="16"/>
  <c r="G7" i="16" s="1"/>
  <c r="D6" i="16"/>
  <c r="A6" i="16"/>
  <c r="D5" i="16"/>
  <c r="A5" i="16"/>
  <c r="D4" i="16"/>
  <c r="A4" i="16"/>
  <c r="G4" i="16" s="1"/>
  <c r="D3" i="16"/>
  <c r="A3" i="16"/>
  <c r="D2" i="16"/>
  <c r="A2" i="16"/>
  <c r="D16" i="15"/>
  <c r="A16" i="15"/>
  <c r="G16" i="15" s="1"/>
  <c r="D15" i="15"/>
  <c r="E15" i="15" s="1"/>
  <c r="A15" i="15"/>
  <c r="G15" i="15" s="1"/>
  <c r="D14" i="15"/>
  <c r="E14" i="15" s="1"/>
  <c r="A14" i="15"/>
  <c r="D13" i="15"/>
  <c r="E13" i="15" s="1"/>
  <c r="A13" i="15"/>
  <c r="G13" i="15" s="1"/>
  <c r="D12" i="15"/>
  <c r="E12" i="15" s="1"/>
  <c r="A12" i="15"/>
  <c r="D11" i="15"/>
  <c r="E11" i="15" s="1"/>
  <c r="A11" i="15"/>
  <c r="G10" i="15"/>
  <c r="D10" i="15"/>
  <c r="A10" i="15"/>
  <c r="D9" i="15"/>
  <c r="E9" i="15" s="1"/>
  <c r="A9" i="15"/>
  <c r="D8" i="15"/>
  <c r="E8" i="15" s="1"/>
  <c r="A8" i="15"/>
  <c r="G7" i="15"/>
  <c r="D7" i="15"/>
  <c r="E7" i="15" s="1"/>
  <c r="F7" i="15" s="1"/>
  <c r="A7" i="15"/>
  <c r="D6" i="15"/>
  <c r="E6" i="15" s="1"/>
  <c r="A6" i="15"/>
  <c r="D5" i="15"/>
  <c r="E5" i="15" s="1"/>
  <c r="A5" i="15"/>
  <c r="G5" i="15" s="1"/>
  <c r="D4" i="15"/>
  <c r="E4" i="15" s="1"/>
  <c r="A4" i="15"/>
  <c r="D3" i="15"/>
  <c r="E3" i="15" s="1"/>
  <c r="A3" i="15"/>
  <c r="D2" i="15"/>
  <c r="A2" i="15"/>
  <c r="G2" i="15" s="1"/>
  <c r="D16" i="14"/>
  <c r="E16" i="14" s="1"/>
  <c r="A16" i="14"/>
  <c r="G16" i="14" s="1"/>
  <c r="D15" i="14"/>
  <c r="E15" i="14" s="1"/>
  <c r="A15" i="14"/>
  <c r="G15" i="14" s="1"/>
  <c r="D14" i="14"/>
  <c r="E14" i="14" s="1"/>
  <c r="A14" i="14"/>
  <c r="D13" i="14"/>
  <c r="E13" i="14" s="1"/>
  <c r="A13" i="14"/>
  <c r="D12" i="14"/>
  <c r="E12" i="14" s="1"/>
  <c r="A12" i="14"/>
  <c r="G12" i="14" s="1"/>
  <c r="D11" i="14"/>
  <c r="E11" i="14" s="1"/>
  <c r="A11" i="14"/>
  <c r="D10" i="14"/>
  <c r="E10" i="14" s="1"/>
  <c r="A10" i="14"/>
  <c r="G10" i="14" s="1"/>
  <c r="D9" i="14"/>
  <c r="E9" i="14" s="1"/>
  <c r="A9" i="14"/>
  <c r="D8" i="14"/>
  <c r="E8" i="14" s="1"/>
  <c r="A8" i="14"/>
  <c r="G7" i="14"/>
  <c r="D7" i="14"/>
  <c r="E7" i="14" s="1"/>
  <c r="A7" i="14"/>
  <c r="D6" i="14"/>
  <c r="E6" i="14" s="1"/>
  <c r="A6" i="14"/>
  <c r="D5" i="14"/>
  <c r="E5" i="14" s="1"/>
  <c r="A5" i="14"/>
  <c r="G5" i="14" s="1"/>
  <c r="D4" i="14"/>
  <c r="E4" i="14" s="1"/>
  <c r="A4" i="14"/>
  <c r="G4" i="14" s="1"/>
  <c r="D3" i="14"/>
  <c r="E3" i="14" s="1"/>
  <c r="A3" i="14"/>
  <c r="G2" i="14"/>
  <c r="D2" i="14"/>
  <c r="E2" i="14" s="1"/>
  <c r="F2" i="14" s="1"/>
  <c r="A2" i="14"/>
  <c r="D2" i="13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" i="6"/>
  <c r="E10" i="16" l="1"/>
  <c r="E2" i="16"/>
  <c r="E6" i="16"/>
  <c r="E3" i="16"/>
  <c r="E14" i="16"/>
  <c r="E11" i="16"/>
  <c r="E4" i="16"/>
  <c r="F4" i="16" s="1"/>
  <c r="E8" i="16"/>
  <c r="E12" i="16"/>
  <c r="F4" i="14"/>
  <c r="F12" i="14"/>
  <c r="F15" i="14"/>
  <c r="F7" i="14"/>
  <c r="F5" i="14"/>
  <c r="F10" i="14"/>
  <c r="E4" i="13"/>
  <c r="D3" i="17"/>
  <c r="D11" i="17"/>
  <c r="D6" i="17"/>
  <c r="D14" i="17"/>
  <c r="D5" i="17"/>
  <c r="D7" i="17"/>
  <c r="D15" i="17"/>
  <c r="D16" i="17"/>
  <c r="G2" i="17"/>
  <c r="G12" i="17"/>
  <c r="G13" i="17"/>
  <c r="G4" i="17"/>
  <c r="G10" i="17"/>
  <c r="G7" i="17"/>
  <c r="G5" i="17"/>
  <c r="G15" i="17"/>
  <c r="D8" i="17"/>
  <c r="G6" i="17"/>
  <c r="G14" i="17"/>
  <c r="G3" i="17"/>
  <c r="G11" i="17"/>
  <c r="G9" i="17"/>
  <c r="G8" i="17"/>
  <c r="E10" i="13"/>
  <c r="E8" i="13"/>
  <c r="E15" i="13"/>
  <c r="E6" i="13"/>
  <c r="E7" i="13"/>
  <c r="E14" i="13"/>
  <c r="E16" i="13"/>
  <c r="F16" i="13" s="1"/>
  <c r="E11" i="13"/>
  <c r="E3" i="13"/>
  <c r="E2" i="13"/>
  <c r="E9" i="13"/>
  <c r="E13" i="13"/>
  <c r="E5" i="13"/>
  <c r="E12" i="13"/>
  <c r="G7" i="13"/>
  <c r="G15" i="13"/>
  <c r="G14" i="13"/>
  <c r="G6" i="13"/>
  <c r="G2" i="13"/>
  <c r="G3" i="13"/>
  <c r="F3" i="13" s="1"/>
  <c r="G10" i="13"/>
  <c r="F10" i="13" s="1"/>
  <c r="G9" i="13"/>
  <c r="G8" i="13"/>
  <c r="F7" i="13"/>
  <c r="G13" i="13"/>
  <c r="G5" i="13"/>
  <c r="G12" i="13"/>
  <c r="G4" i="13"/>
  <c r="G11" i="13"/>
  <c r="E13" i="16"/>
  <c r="F3" i="16"/>
  <c r="G12" i="16"/>
  <c r="F12" i="16" s="1"/>
  <c r="G5" i="16"/>
  <c r="E7" i="16"/>
  <c r="F7" i="16" s="1"/>
  <c r="G13" i="16"/>
  <c r="E15" i="16"/>
  <c r="F15" i="16" s="1"/>
  <c r="G2" i="16"/>
  <c r="F2" i="16" s="1"/>
  <c r="G10" i="16"/>
  <c r="F10" i="16" s="1"/>
  <c r="G6" i="16"/>
  <c r="F6" i="16" s="1"/>
  <c r="G14" i="16"/>
  <c r="E16" i="16"/>
  <c r="F16" i="16" s="1"/>
  <c r="G3" i="16"/>
  <c r="E5" i="16"/>
  <c r="G11" i="16"/>
  <c r="G9" i="16"/>
  <c r="F9" i="16" s="1"/>
  <c r="G8" i="16"/>
  <c r="F8" i="16" s="1"/>
  <c r="F15" i="15"/>
  <c r="F13" i="15"/>
  <c r="F5" i="15"/>
  <c r="E10" i="15"/>
  <c r="F10" i="15" s="1"/>
  <c r="F6" i="15"/>
  <c r="F3" i="15"/>
  <c r="F8" i="15"/>
  <c r="G4" i="15"/>
  <c r="F4" i="15" s="1"/>
  <c r="G6" i="15"/>
  <c r="G14" i="15"/>
  <c r="F14" i="15" s="1"/>
  <c r="E16" i="15"/>
  <c r="F16" i="15" s="1"/>
  <c r="G12" i="15"/>
  <c r="F12" i="15" s="1"/>
  <c r="G3" i="15"/>
  <c r="G11" i="15"/>
  <c r="F11" i="15" s="1"/>
  <c r="G9" i="15"/>
  <c r="F9" i="15" s="1"/>
  <c r="E2" i="15"/>
  <c r="F2" i="15" s="1"/>
  <c r="G8" i="15"/>
  <c r="F3" i="14"/>
  <c r="F16" i="14"/>
  <c r="G13" i="14"/>
  <c r="F13" i="14" s="1"/>
  <c r="G14" i="14"/>
  <c r="F14" i="14" s="1"/>
  <c r="G9" i="14"/>
  <c r="F9" i="14" s="1"/>
  <c r="G6" i="14"/>
  <c r="F6" i="14" s="1"/>
  <c r="G3" i="14"/>
  <c r="G11" i="14"/>
  <c r="F11" i="14" s="1"/>
  <c r="G8" i="14"/>
  <c r="F8" i="14" s="1"/>
  <c r="F13" i="16" l="1"/>
  <c r="F11" i="16"/>
  <c r="F14" i="16"/>
  <c r="E15" i="17"/>
  <c r="F15" i="17" s="1"/>
  <c r="E6" i="17"/>
  <c r="E5" i="17"/>
  <c r="F5" i="17" s="1"/>
  <c r="E7" i="17"/>
  <c r="F7" i="17" s="1"/>
  <c r="E16" i="17"/>
  <c r="F16" i="17" s="1"/>
  <c r="E9" i="17"/>
  <c r="E11" i="17"/>
  <c r="F11" i="17" s="1"/>
  <c r="E12" i="17"/>
  <c r="F12" i="17" s="1"/>
  <c r="E14" i="17"/>
  <c r="F14" i="17" s="1"/>
  <c r="E2" i="17"/>
  <c r="F2" i="17" s="1"/>
  <c r="E4" i="17"/>
  <c r="F4" i="17" s="1"/>
  <c r="E3" i="17"/>
  <c r="F3" i="17" s="1"/>
  <c r="E13" i="17"/>
  <c r="F13" i="17" s="1"/>
  <c r="E10" i="17"/>
  <c r="F10" i="17" s="1"/>
  <c r="F9" i="17"/>
  <c r="E8" i="17"/>
  <c r="F8" i="17" s="1"/>
  <c r="F6" i="17"/>
  <c r="F6" i="13"/>
  <c r="F9" i="13"/>
  <c r="F11" i="13"/>
  <c r="F8" i="13"/>
  <c r="F15" i="13"/>
  <c r="F2" i="13"/>
  <c r="F5" i="13"/>
  <c r="F13" i="13"/>
  <c r="F12" i="13"/>
  <c r="F14" i="13"/>
  <c r="F4" i="13"/>
  <c r="F5" i="16"/>
</calcChain>
</file>

<file path=xl/sharedStrings.xml><?xml version="1.0" encoding="utf-8"?>
<sst xmlns="http://schemas.openxmlformats.org/spreadsheetml/2006/main" count="57" uniqueCount="12">
  <si>
    <t>Resource</t>
  </si>
  <si>
    <t>Power</t>
  </si>
  <si>
    <t>Execution Time</t>
  </si>
  <si>
    <t>Extra Execution</t>
  </si>
  <si>
    <t>Unit Cost</t>
  </si>
  <si>
    <t>Resource Reduction</t>
  </si>
  <si>
    <t>Performance</t>
  </si>
  <si>
    <t>Cost</t>
  </si>
  <si>
    <t>cost/dp</t>
  </si>
  <si>
    <t>dp</t>
  </si>
  <si>
    <t>Performacne</t>
  </si>
  <si>
    <t>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</si>
</sst>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21B99-65CB-5A45-8353-52F368260BAD}">
  <dimension ref="A1:H16"/>
  <sheetViews>
    <sheetView tabSelected="1" workbookViewId="0">
      <selection activeCell="C16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0.4459900297270441</v>
      </c>
      <c r="B2">
        <v>51.719613870000003</v>
      </c>
      <c r="C2">
        <v>43.398477100000001</v>
      </c>
      <c r="D2">
        <f t="shared" ref="D2:D15" si="1">1/C2*100</f>
        <v>2.304228320490997</v>
      </c>
      <c r="E2">
        <f t="shared" ref="E2:E15" si="2">D2-$D$16</f>
        <v>1.304228320490997</v>
      </c>
      <c r="F2">
        <f>IFERROR(E2/G2,0)</f>
        <v>2.3541603770206789</v>
      </c>
      <c r="G2">
        <f>$A$16-A2</f>
        <v>0.55400997027295595</v>
      </c>
      <c r="H2">
        <v>1000</v>
      </c>
    </row>
    <row r="3" spans="1:8" x14ac:dyDescent="0.2">
      <c r="A3">
        <f t="shared" si="0"/>
        <v>0.46625058449749396</v>
      </c>
      <c r="B3">
        <v>54.069146369999999</v>
      </c>
      <c r="C3">
        <v>47.58459173</v>
      </c>
      <c r="D3">
        <f t="shared" si="1"/>
        <v>2.1015206049767237</v>
      </c>
      <c r="E3">
        <f t="shared" si="2"/>
        <v>1.1015206049767237</v>
      </c>
      <c r="F3">
        <f t="shared" ref="F3:F16" si="3">IFERROR(E3/G3,0)</f>
        <v>2.0637410983198574</v>
      </c>
      <c r="G3">
        <f t="shared" ref="G3:G16" si="4">$A$16-A3</f>
        <v>0.53374941550250599</v>
      </c>
      <c r="H3">
        <v>1100</v>
      </c>
    </row>
    <row r="4" spans="1:8" x14ac:dyDescent="0.2">
      <c r="A4">
        <f t="shared" si="0"/>
        <v>0.48555133663735539</v>
      </c>
      <c r="B4">
        <v>56.307374539999998</v>
      </c>
      <c r="C4">
        <v>51.75781113</v>
      </c>
      <c r="D4">
        <f t="shared" si="1"/>
        <v>1.9320755228390587</v>
      </c>
      <c r="E4">
        <f t="shared" si="2"/>
        <v>0.9320755228390587</v>
      </c>
      <c r="F4">
        <f t="shared" si="3"/>
        <v>1.8117950132217975</v>
      </c>
      <c r="G4">
        <f t="shared" si="4"/>
        <v>0.51444866336264461</v>
      </c>
      <c r="H4">
        <v>1200</v>
      </c>
    </row>
    <row r="5" spans="1:8" x14ac:dyDescent="0.2">
      <c r="A5">
        <f t="shared" si="0"/>
        <v>0.50755403485923767</v>
      </c>
      <c r="B5">
        <v>58.858936190000001</v>
      </c>
      <c r="C5">
        <v>55.535973830000003</v>
      </c>
      <c r="D5">
        <f t="shared" si="1"/>
        <v>1.8006346716113755</v>
      </c>
      <c r="E5">
        <f t="shared" si="2"/>
        <v>0.80063467161137547</v>
      </c>
      <c r="F5">
        <f t="shared" si="3"/>
        <v>1.6258325345046121</v>
      </c>
      <c r="G5">
        <f t="shared" si="4"/>
        <v>0.49244596514076233</v>
      </c>
      <c r="H5">
        <v>1300</v>
      </c>
    </row>
    <row r="6" spans="1:8" x14ac:dyDescent="0.2">
      <c r="A6">
        <f t="shared" si="0"/>
        <v>0.53137110736465576</v>
      </c>
      <c r="B6">
        <v>61.620903300000002</v>
      </c>
      <c r="C6">
        <v>59.937136019999997</v>
      </c>
      <c r="D6">
        <f t="shared" si="1"/>
        <v>1.6684147198263146</v>
      </c>
      <c r="E6">
        <f t="shared" si="2"/>
        <v>0.66841471982631462</v>
      </c>
      <c r="F6">
        <f t="shared" si="3"/>
        <v>1.4263199096997001</v>
      </c>
      <c r="G6">
        <f t="shared" si="4"/>
        <v>0.46862889263534424</v>
      </c>
      <c r="H6">
        <v>1400</v>
      </c>
    </row>
    <row r="7" spans="1:8" x14ac:dyDescent="0.2">
      <c r="A7">
        <f t="shared" si="0"/>
        <v>0.55646697174877491</v>
      </c>
      <c r="B7">
        <v>64.531166600000006</v>
      </c>
      <c r="C7">
        <v>64.087651530000002</v>
      </c>
      <c r="D7">
        <f t="shared" si="1"/>
        <v>1.5603629968120942</v>
      </c>
      <c r="E7">
        <f t="shared" si="2"/>
        <v>0.56036299681209423</v>
      </c>
      <c r="F7">
        <f t="shared" si="3"/>
        <v>1.2634075956451536</v>
      </c>
      <c r="G7">
        <f t="shared" si="4"/>
        <v>0.44353302825122509</v>
      </c>
      <c r="H7">
        <v>1500</v>
      </c>
    </row>
    <row r="8" spans="1:8" x14ac:dyDescent="0.2">
      <c r="A8">
        <f t="shared" si="0"/>
        <v>0.58210983060408183</v>
      </c>
      <c r="B8">
        <v>67.504862579999994</v>
      </c>
      <c r="C8">
        <v>67.709470300000007</v>
      </c>
      <c r="D8">
        <f t="shared" si="1"/>
        <v>1.4768982766654428</v>
      </c>
      <c r="E8">
        <f t="shared" si="2"/>
        <v>0.47689827666544282</v>
      </c>
      <c r="F8">
        <f t="shared" si="3"/>
        <v>1.1412048226806195</v>
      </c>
      <c r="G8">
        <f t="shared" si="4"/>
        <v>0.41789016939591817</v>
      </c>
      <c r="H8">
        <v>1600</v>
      </c>
    </row>
    <row r="9" spans="1:8" x14ac:dyDescent="0.2">
      <c r="A9">
        <f t="shared" si="0"/>
        <v>0.62295094158761333</v>
      </c>
      <c r="B9">
        <v>72.241036820000005</v>
      </c>
      <c r="C9">
        <v>72.453343829999994</v>
      </c>
      <c r="D9">
        <f t="shared" si="1"/>
        <v>1.3801985486637272</v>
      </c>
      <c r="E9">
        <f t="shared" si="2"/>
        <v>0.38019854866372715</v>
      </c>
      <c r="F9">
        <f t="shared" si="3"/>
        <v>1.0083529985848574</v>
      </c>
      <c r="G9">
        <f t="shared" si="4"/>
        <v>0.37704905841238667</v>
      </c>
      <c r="H9">
        <v>1700</v>
      </c>
    </row>
    <row r="10" spans="1:8" x14ac:dyDescent="0.2">
      <c r="A10">
        <f t="shared" si="0"/>
        <v>0.64790629909241504</v>
      </c>
      <c r="B10">
        <v>75.13500612</v>
      </c>
      <c r="C10">
        <v>75.695414130000003</v>
      </c>
      <c r="D10">
        <f t="shared" si="1"/>
        <v>1.3210839936519678</v>
      </c>
      <c r="E10">
        <f t="shared" si="2"/>
        <v>0.32108399365196783</v>
      </c>
      <c r="F10">
        <f t="shared" si="3"/>
        <v>0.91192768522786971</v>
      </c>
      <c r="G10">
        <f t="shared" si="4"/>
        <v>0.35209370090758496</v>
      </c>
      <c r="H10">
        <v>1800</v>
      </c>
    </row>
    <row r="11" spans="1:8" x14ac:dyDescent="0.2">
      <c r="A11">
        <f t="shared" si="0"/>
        <v>0.67659497327438256</v>
      </c>
      <c r="B11">
        <v>78.461912670000004</v>
      </c>
      <c r="C11">
        <v>80.058675960000002</v>
      </c>
      <c r="D11">
        <f t="shared" si="1"/>
        <v>1.2490838600673755</v>
      </c>
      <c r="E11">
        <f t="shared" si="2"/>
        <v>0.24908386006737548</v>
      </c>
      <c r="F11">
        <f t="shared" si="3"/>
        <v>0.77019167756691254</v>
      </c>
      <c r="G11">
        <f t="shared" si="4"/>
        <v>0.32340502672561744</v>
      </c>
      <c r="H11">
        <v>1900</v>
      </c>
    </row>
    <row r="12" spans="1:8" x14ac:dyDescent="0.2">
      <c r="A12">
        <f t="shared" si="0"/>
        <v>0.70230659780379723</v>
      </c>
      <c r="B12">
        <v>81.44358312</v>
      </c>
      <c r="C12">
        <v>84.117726160000004</v>
      </c>
      <c r="D12">
        <f t="shared" si="1"/>
        <v>1.1888100708974276</v>
      </c>
      <c r="E12">
        <f t="shared" si="2"/>
        <v>0.18881007089742763</v>
      </c>
      <c r="F12">
        <f t="shared" si="3"/>
        <v>0.63424338431587857</v>
      </c>
      <c r="G12">
        <f t="shared" si="4"/>
        <v>0.29769340219620277</v>
      </c>
      <c r="H12">
        <v>2000</v>
      </c>
    </row>
    <row r="13" spans="1:8" x14ac:dyDescent="0.2">
      <c r="A13">
        <f t="shared" si="0"/>
        <v>0.72931007702282902</v>
      </c>
      <c r="B13">
        <v>84.575064600000005</v>
      </c>
      <c r="C13">
        <v>87.649355799999995</v>
      </c>
      <c r="D13">
        <f t="shared" si="1"/>
        <v>1.1409096973648265</v>
      </c>
      <c r="E13">
        <f t="shared" si="2"/>
        <v>0.1409096973648265</v>
      </c>
      <c r="F13">
        <f t="shared" si="3"/>
        <v>0.52055760264378337</v>
      </c>
      <c r="G13">
        <f t="shared" si="4"/>
        <v>0.27068992297717098</v>
      </c>
      <c r="H13">
        <v>2100</v>
      </c>
    </row>
    <row r="14" spans="1:8" x14ac:dyDescent="0.2">
      <c r="A14">
        <f t="shared" si="0"/>
        <v>0.77488963695124724</v>
      </c>
      <c r="B14">
        <v>89.860737110000002</v>
      </c>
      <c r="C14">
        <v>91.508404240000004</v>
      </c>
      <c r="D14">
        <f t="shared" si="1"/>
        <v>1.0927958019869848</v>
      </c>
      <c r="E14">
        <f t="shared" si="2"/>
        <v>9.2795801986984783E-2</v>
      </c>
      <c r="F14">
        <f t="shared" si="3"/>
        <v>0.41222358993258673</v>
      </c>
      <c r="G14">
        <f t="shared" si="4"/>
        <v>0.22511036304875276</v>
      </c>
      <c r="H14">
        <v>2200</v>
      </c>
    </row>
    <row r="15" spans="1:8" x14ac:dyDescent="0.2">
      <c r="A15">
        <f t="shared" si="0"/>
        <v>0.80456485215222684</v>
      </c>
      <c r="B15">
        <v>93.302048729999996</v>
      </c>
      <c r="C15">
        <v>94.431522079999993</v>
      </c>
      <c r="D15">
        <f t="shared" si="1"/>
        <v>1.0589684228035903</v>
      </c>
      <c r="E15">
        <f t="shared" si="2"/>
        <v>5.896842280359027E-2</v>
      </c>
      <c r="F15">
        <f t="shared" si="3"/>
        <v>0.30172885201551103</v>
      </c>
      <c r="G15">
        <f t="shared" si="4"/>
        <v>0.19543514784777316</v>
      </c>
      <c r="H15">
        <v>2300</v>
      </c>
    </row>
    <row r="16" spans="1:8" x14ac:dyDescent="0.2">
      <c r="A16">
        <f>B16/$B$16</f>
        <v>1</v>
      </c>
      <c r="B16">
        <v>115.9658522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BE13A-0473-8348-9212-ABA98BE88DD8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0.63368064814567127</v>
      </c>
      <c r="B2">
        <v>74.736948269999999</v>
      </c>
      <c r="C2">
        <v>58.742993089999999</v>
      </c>
      <c r="D2">
        <f t="shared" ref="D2:D15" si="1">1/C2*100</f>
        <v>1.7023306906883386</v>
      </c>
      <c r="E2">
        <f t="shared" ref="E2:E15" si="2">D2-$D$16</f>
        <v>0.70233069068833864</v>
      </c>
      <c r="F2">
        <f>IFERROR(E2/G2,0)</f>
        <v>1.9172634127383716</v>
      </c>
      <c r="G2">
        <f>$A$16-A2</f>
        <v>0.36631935185432873</v>
      </c>
      <c r="H2">
        <v>1000</v>
      </c>
    </row>
    <row r="3" spans="1:8" x14ac:dyDescent="0.2">
      <c r="A3">
        <f t="shared" si="0"/>
        <v>0.65326406531574643</v>
      </c>
      <c r="B3">
        <v>77.046636660000004</v>
      </c>
      <c r="C3">
        <v>62.292301530000003</v>
      </c>
      <c r="D3">
        <f t="shared" si="1"/>
        <v>1.6053348093398017</v>
      </c>
      <c r="E3">
        <f t="shared" si="2"/>
        <v>0.60533480933980166</v>
      </c>
      <c r="F3">
        <f t="shared" ref="F3:F16" si="3">IFERROR(E3/G3,0)</f>
        <v>1.7458092709399582</v>
      </c>
      <c r="G3">
        <f t="shared" ref="G3:G16" si="4">$A$16-A3</f>
        <v>0.34673593468425357</v>
      </c>
      <c r="H3">
        <v>1100</v>
      </c>
    </row>
    <row r="4" spans="1:8" x14ac:dyDescent="0.2">
      <c r="A4">
        <f t="shared" si="0"/>
        <v>0.67374736796325019</v>
      </c>
      <c r="B4">
        <v>79.462458470000001</v>
      </c>
      <c r="C4">
        <v>66.316953170000005</v>
      </c>
      <c r="D4">
        <f t="shared" si="1"/>
        <v>1.5079100474301841</v>
      </c>
      <c r="E4">
        <f t="shared" si="2"/>
        <v>0.50791004743018409</v>
      </c>
      <c r="F4">
        <f t="shared" si="3"/>
        <v>1.556799846362533</v>
      </c>
      <c r="G4">
        <f t="shared" si="4"/>
        <v>0.32625263203674981</v>
      </c>
      <c r="H4">
        <v>1200</v>
      </c>
    </row>
    <row r="5" spans="1:8" x14ac:dyDescent="0.2">
      <c r="A5">
        <f t="shared" si="0"/>
        <v>0.6904271179337903</v>
      </c>
      <c r="B5">
        <v>81.429685359999993</v>
      </c>
      <c r="C5">
        <v>68.437443500000001</v>
      </c>
      <c r="D5">
        <f t="shared" si="1"/>
        <v>1.4611884209263311</v>
      </c>
      <c r="E5">
        <f t="shared" si="2"/>
        <v>0.46118842092633106</v>
      </c>
      <c r="F5">
        <f t="shared" si="3"/>
        <v>1.4897571707449966</v>
      </c>
      <c r="G5">
        <f t="shared" si="4"/>
        <v>0.3095728820662097</v>
      </c>
      <c r="H5">
        <v>1300</v>
      </c>
    </row>
    <row r="6" spans="1:8" x14ac:dyDescent="0.2">
      <c r="A6">
        <f t="shared" si="0"/>
        <v>0.71495410266889659</v>
      </c>
      <c r="B6">
        <v>84.322423200000003</v>
      </c>
      <c r="C6">
        <v>71.588234189999994</v>
      </c>
      <c r="D6">
        <f t="shared" si="1"/>
        <v>1.3968775893339298</v>
      </c>
      <c r="E6">
        <f t="shared" si="2"/>
        <v>0.3968775893339298</v>
      </c>
      <c r="F6">
        <f t="shared" si="3"/>
        <v>1.3923287198655065</v>
      </c>
      <c r="G6">
        <f t="shared" si="4"/>
        <v>0.28504589733110341</v>
      </c>
      <c r="H6">
        <v>1400</v>
      </c>
    </row>
    <row r="7" spans="1:8" x14ac:dyDescent="0.2">
      <c r="A7">
        <f t="shared" si="0"/>
        <v>0.73330554577427853</v>
      </c>
      <c r="B7">
        <v>86.486811299999999</v>
      </c>
      <c r="C7">
        <v>76.051251699999995</v>
      </c>
      <c r="D7">
        <f t="shared" si="1"/>
        <v>1.3149027499832722</v>
      </c>
      <c r="E7">
        <f t="shared" si="2"/>
        <v>0.31490274998327217</v>
      </c>
      <c r="F7">
        <f t="shared" si="3"/>
        <v>1.1807622730570497</v>
      </c>
      <c r="G7">
        <f t="shared" si="4"/>
        <v>0.26669445422572147</v>
      </c>
      <c r="H7">
        <v>1500</v>
      </c>
    </row>
    <row r="8" spans="1:8" x14ac:dyDescent="0.2">
      <c r="A8">
        <f t="shared" si="0"/>
        <v>0.75808373638765381</v>
      </c>
      <c r="B8">
        <v>89.409176619999997</v>
      </c>
      <c r="C8">
        <v>77.855184820000005</v>
      </c>
      <c r="D8">
        <f t="shared" si="1"/>
        <v>1.2844359721346557</v>
      </c>
      <c r="E8">
        <f t="shared" si="2"/>
        <v>0.28443597213465566</v>
      </c>
      <c r="F8">
        <f t="shared" si="3"/>
        <v>1.1757620917560314</v>
      </c>
      <c r="G8">
        <f t="shared" si="4"/>
        <v>0.24191626361234619</v>
      </c>
      <c r="H8">
        <v>1600</v>
      </c>
    </row>
    <row r="9" spans="1:8" x14ac:dyDescent="0.2">
      <c r="A9">
        <f t="shared" si="0"/>
        <v>0.80331967509807201</v>
      </c>
      <c r="B9">
        <v>94.744349819999996</v>
      </c>
      <c r="C9">
        <v>80.883177149999995</v>
      </c>
      <c r="D9">
        <f t="shared" si="1"/>
        <v>1.2363510376768132</v>
      </c>
      <c r="E9">
        <f t="shared" si="2"/>
        <v>0.2363510376768132</v>
      </c>
      <c r="F9">
        <f t="shared" si="3"/>
        <v>1.2017014807895323</v>
      </c>
      <c r="G9">
        <f t="shared" si="4"/>
        <v>0.19668032490192799</v>
      </c>
      <c r="H9">
        <v>1700</v>
      </c>
    </row>
    <row r="10" spans="1:8" x14ac:dyDescent="0.2">
      <c r="A10">
        <f t="shared" si="0"/>
        <v>0.82335366286300338</v>
      </c>
      <c r="B10">
        <v>97.107178970000007</v>
      </c>
      <c r="C10">
        <v>84.183755329999997</v>
      </c>
      <c r="D10">
        <f t="shared" si="1"/>
        <v>1.1878776327808185</v>
      </c>
      <c r="E10">
        <f t="shared" si="2"/>
        <v>0.18787763278081848</v>
      </c>
      <c r="F10">
        <f t="shared" si="3"/>
        <v>1.0635806879771954</v>
      </c>
      <c r="G10">
        <f t="shared" si="4"/>
        <v>0.17664633713699662</v>
      </c>
      <c r="H10">
        <v>1800</v>
      </c>
    </row>
    <row r="11" spans="1:8" x14ac:dyDescent="0.2">
      <c r="A11">
        <f t="shared" si="0"/>
        <v>0.84184321083328106</v>
      </c>
      <c r="B11">
        <v>99.287855300000004</v>
      </c>
      <c r="C11">
        <v>86.469658429999996</v>
      </c>
      <c r="D11">
        <f t="shared" si="1"/>
        <v>1.1564750204368306</v>
      </c>
      <c r="E11">
        <f t="shared" si="2"/>
        <v>0.15647502043683059</v>
      </c>
      <c r="F11">
        <f t="shared" si="3"/>
        <v>0.98936644617819391</v>
      </c>
      <c r="G11">
        <f t="shared" si="4"/>
        <v>0.15815678916671894</v>
      </c>
      <c r="H11">
        <v>1900</v>
      </c>
    </row>
    <row r="12" spans="1:8" x14ac:dyDescent="0.2">
      <c r="A12">
        <f t="shared" si="0"/>
        <v>0.86700797921385619</v>
      </c>
      <c r="B12">
        <v>102.255814</v>
      </c>
      <c r="C12">
        <v>90.299367430000004</v>
      </c>
      <c r="D12">
        <f t="shared" si="1"/>
        <v>1.1074274698271827</v>
      </c>
      <c r="E12">
        <f t="shared" si="2"/>
        <v>0.10742746982718265</v>
      </c>
      <c r="F12">
        <f t="shared" si="3"/>
        <v>0.80777379869977373</v>
      </c>
      <c r="G12">
        <f t="shared" si="4"/>
        <v>0.13299202078614381</v>
      </c>
      <c r="H12">
        <v>2000</v>
      </c>
    </row>
    <row r="13" spans="1:8" x14ac:dyDescent="0.2">
      <c r="A13">
        <f t="shared" si="0"/>
        <v>0.88573868897510788</v>
      </c>
      <c r="B13">
        <v>104.4649332</v>
      </c>
      <c r="C13">
        <v>92.529920869999998</v>
      </c>
      <c r="D13">
        <f t="shared" si="1"/>
        <v>1.0807314980901701</v>
      </c>
      <c r="E13">
        <f t="shared" si="2"/>
        <v>8.0731498090170106E-2</v>
      </c>
      <c r="F13">
        <f t="shared" si="3"/>
        <v>0.70655147718883204</v>
      </c>
      <c r="G13">
        <f t="shared" si="4"/>
        <v>0.11426131102489212</v>
      </c>
      <c r="H13">
        <v>2100</v>
      </c>
    </row>
    <row r="14" spans="1:8" x14ac:dyDescent="0.2">
      <c r="A14">
        <f t="shared" si="0"/>
        <v>0.91294323605020511</v>
      </c>
      <c r="B14">
        <v>107.67346550000001</v>
      </c>
      <c r="C14">
        <v>94.221278690000005</v>
      </c>
      <c r="D14">
        <f t="shared" si="1"/>
        <v>1.0613313827868196</v>
      </c>
      <c r="E14">
        <f t="shared" si="2"/>
        <v>6.1331382786819599E-2</v>
      </c>
      <c r="F14">
        <f t="shared" si="3"/>
        <v>0.70449876614054985</v>
      </c>
      <c r="G14">
        <f t="shared" si="4"/>
        <v>8.7056763949794891E-2</v>
      </c>
      <c r="H14">
        <v>2200</v>
      </c>
    </row>
    <row r="15" spans="1:8" x14ac:dyDescent="0.2">
      <c r="A15">
        <f t="shared" si="0"/>
        <v>0.93022578311400694</v>
      </c>
      <c r="B15">
        <v>109.71178690000001</v>
      </c>
      <c r="C15">
        <v>96.892781290000002</v>
      </c>
      <c r="D15">
        <f t="shared" si="1"/>
        <v>1.032068629557656</v>
      </c>
      <c r="E15">
        <f t="shared" si="2"/>
        <v>3.2068629557655992E-2</v>
      </c>
      <c r="F15">
        <f t="shared" si="3"/>
        <v>0.45960572527892696</v>
      </c>
      <c r="G15">
        <f t="shared" si="4"/>
        <v>6.9774216885993057E-2</v>
      </c>
      <c r="H15">
        <v>2300</v>
      </c>
    </row>
    <row r="16" spans="1:8" x14ac:dyDescent="0.2">
      <c r="A16">
        <f>B16/$B$16</f>
        <v>1</v>
      </c>
      <c r="B16">
        <v>117.9410299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F29EA-3579-C146-8651-7F0F56939F5A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0.80079795768039608</v>
      </c>
      <c r="B2">
        <v>143.159960625076</v>
      </c>
      <c r="C2">
        <v>64.164122664593918</v>
      </c>
      <c r="D2">
        <f t="shared" ref="D2:D15" si="1">1/C2*100</f>
        <v>1.558503348089578</v>
      </c>
      <c r="E2">
        <f t="shared" ref="E2:E15" si="2">D2-$D$16</f>
        <v>0.55850334808957802</v>
      </c>
      <c r="F2">
        <f>IFERROR(E2/G2,0)</f>
        <v>2.8037029218480782</v>
      </c>
      <c r="G2">
        <f>$A$16-A2</f>
        <v>0.19920204231960392</v>
      </c>
      <c r="H2">
        <v>1000</v>
      </c>
    </row>
    <row r="3" spans="1:8" x14ac:dyDescent="0.2">
      <c r="A3">
        <f t="shared" si="0"/>
        <v>0.8170478870743112</v>
      </c>
      <c r="B3">
        <v>146.06498708010301</v>
      </c>
      <c r="C3">
        <v>67.589347520270408</v>
      </c>
      <c r="D3">
        <f t="shared" si="1"/>
        <v>1.4795230856461437</v>
      </c>
      <c r="E3">
        <f t="shared" si="2"/>
        <v>0.47952308564614365</v>
      </c>
      <c r="F3">
        <f t="shared" ref="F3:F16" si="3">IFERROR(E3/G3,0)</f>
        <v>2.6210305963556464</v>
      </c>
      <c r="G3">
        <f t="shared" ref="G3:G16" si="4">$A$16-A3</f>
        <v>0.1829521129256888</v>
      </c>
      <c r="H3">
        <v>1100</v>
      </c>
    </row>
    <row r="4" spans="1:8" x14ac:dyDescent="0.2">
      <c r="A4">
        <f t="shared" si="0"/>
        <v>0.81762749563889559</v>
      </c>
      <c r="B4">
        <v>146.16860465116201</v>
      </c>
      <c r="C4">
        <v>70.593355848464313</v>
      </c>
      <c r="D4">
        <f t="shared" si="1"/>
        <v>1.4165639074399579</v>
      </c>
      <c r="E4">
        <f t="shared" si="2"/>
        <v>0.41656390743995786</v>
      </c>
      <c r="F4">
        <f t="shared" si="3"/>
        <v>2.2841376714065715</v>
      </c>
      <c r="G4">
        <f t="shared" si="4"/>
        <v>0.18237250436110441</v>
      </c>
      <c r="H4">
        <v>1200</v>
      </c>
    </row>
    <row r="5" spans="1:8" x14ac:dyDescent="0.2">
      <c r="A5">
        <f t="shared" si="0"/>
        <v>0.82658602799033121</v>
      </c>
      <c r="B5">
        <v>147.77013613159301</v>
      </c>
      <c r="C5">
        <v>73.878941654247669</v>
      </c>
      <c r="D5">
        <f t="shared" si="1"/>
        <v>1.3535656813818271</v>
      </c>
      <c r="E5">
        <f t="shared" si="2"/>
        <v>0.35356568138182709</v>
      </c>
      <c r="F5">
        <f t="shared" si="3"/>
        <v>2.0388534861661194</v>
      </c>
      <c r="G5">
        <f t="shared" si="4"/>
        <v>0.17341397200966879</v>
      </c>
      <c r="H5">
        <v>1300</v>
      </c>
    </row>
    <row r="6" spans="1:8" x14ac:dyDescent="0.2">
      <c r="A6">
        <f t="shared" si="0"/>
        <v>0.84263082846150694</v>
      </c>
      <c r="B6">
        <v>150.63849135360701</v>
      </c>
      <c r="C6">
        <v>76.5313344382824</v>
      </c>
      <c r="D6">
        <f t="shared" si="1"/>
        <v>1.3066543362136664</v>
      </c>
      <c r="E6">
        <f t="shared" si="2"/>
        <v>0.30665433621366645</v>
      </c>
      <c r="F6">
        <f t="shared" si="3"/>
        <v>1.9486303017021203</v>
      </c>
      <c r="G6">
        <f t="shared" si="4"/>
        <v>0.15736917153849306</v>
      </c>
      <c r="H6">
        <v>1400</v>
      </c>
    </row>
    <row r="7" spans="1:8" x14ac:dyDescent="0.2">
      <c r="A7">
        <f t="shared" si="0"/>
        <v>0.85462335413143198</v>
      </c>
      <c r="B7">
        <v>152.78241478177699</v>
      </c>
      <c r="C7">
        <v>80.473151574721584</v>
      </c>
      <c r="D7">
        <f t="shared" si="1"/>
        <v>1.2426504746387022</v>
      </c>
      <c r="E7">
        <f t="shared" si="2"/>
        <v>0.24265047463870215</v>
      </c>
      <c r="F7">
        <f t="shared" si="3"/>
        <v>1.6691159242872982</v>
      </c>
      <c r="G7">
        <f t="shared" si="4"/>
        <v>0.14537664586856802</v>
      </c>
      <c r="H7">
        <v>1500</v>
      </c>
    </row>
    <row r="8" spans="1:8" x14ac:dyDescent="0.2">
      <c r="A8">
        <f t="shared" si="0"/>
        <v>0.86985960006581564</v>
      </c>
      <c r="B8">
        <v>155.506223386832</v>
      </c>
      <c r="C8">
        <v>82.512469393307342</v>
      </c>
      <c r="D8">
        <f t="shared" si="1"/>
        <v>1.2119380347633988</v>
      </c>
      <c r="E8">
        <f t="shared" si="2"/>
        <v>0.21193803476339879</v>
      </c>
      <c r="F8">
        <f t="shared" si="3"/>
        <v>1.6285337594673275</v>
      </c>
      <c r="G8">
        <f t="shared" si="4"/>
        <v>0.13014039993418436</v>
      </c>
      <c r="H8">
        <v>1600</v>
      </c>
    </row>
    <row r="9" spans="1:8" x14ac:dyDescent="0.2">
      <c r="A9">
        <f t="shared" si="0"/>
        <v>0.89157283517510011</v>
      </c>
      <c r="B9">
        <v>159.38793394000601</v>
      </c>
      <c r="C9">
        <v>85.892328866764473</v>
      </c>
      <c r="D9">
        <f t="shared" si="1"/>
        <v>1.1642483248430631</v>
      </c>
      <c r="E9">
        <f t="shared" si="2"/>
        <v>0.16424832484306306</v>
      </c>
      <c r="F9">
        <f t="shared" si="3"/>
        <v>1.5148263362627743</v>
      </c>
      <c r="G9">
        <f t="shared" si="4"/>
        <v>0.10842716482489989</v>
      </c>
      <c r="H9">
        <v>1700</v>
      </c>
    </row>
    <row r="10" spans="1:8" x14ac:dyDescent="0.2">
      <c r="A10">
        <f t="shared" si="0"/>
        <v>0.90264352937499504</v>
      </c>
      <c r="B10">
        <v>161.367060048594</v>
      </c>
      <c r="C10">
        <v>88.234379754172522</v>
      </c>
      <c r="D10">
        <f t="shared" si="1"/>
        <v>1.1333450779458909</v>
      </c>
      <c r="E10">
        <f t="shared" si="2"/>
        <v>0.1333450779458909</v>
      </c>
      <c r="F10">
        <f t="shared" si="3"/>
        <v>1.3696580934975127</v>
      </c>
      <c r="G10">
        <f t="shared" si="4"/>
        <v>9.7356470625004965E-2</v>
      </c>
      <c r="H10">
        <v>1800</v>
      </c>
    </row>
    <row r="11" spans="1:8" x14ac:dyDescent="0.2">
      <c r="A11">
        <f t="shared" si="0"/>
        <v>0.91732811849122275</v>
      </c>
      <c r="B11">
        <v>163.99224806201499</v>
      </c>
      <c r="C11">
        <v>90.726266151542035</v>
      </c>
      <c r="D11">
        <f t="shared" si="1"/>
        <v>1.1022166373844577</v>
      </c>
      <c r="E11">
        <f t="shared" si="2"/>
        <v>0.10221663738445774</v>
      </c>
      <c r="F11">
        <f t="shared" si="3"/>
        <v>1.2364135848729345</v>
      </c>
      <c r="G11">
        <f t="shared" si="4"/>
        <v>8.2671881508777245E-2</v>
      </c>
      <c r="H11">
        <v>1900</v>
      </c>
    </row>
    <row r="12" spans="1:8" x14ac:dyDescent="0.2">
      <c r="A12">
        <f t="shared" si="0"/>
        <v>0.92791469886399114</v>
      </c>
      <c r="B12">
        <v>165.884828349944</v>
      </c>
      <c r="C12">
        <v>93.378117863107008</v>
      </c>
      <c r="D12">
        <f t="shared" si="1"/>
        <v>1.0709147098745417</v>
      </c>
      <c r="E12">
        <f t="shared" si="2"/>
        <v>7.0914709874541737E-2</v>
      </c>
      <c r="F12">
        <f t="shared" si="3"/>
        <v>0.983761026963618</v>
      </c>
      <c r="G12">
        <f t="shared" si="4"/>
        <v>7.2085301136008861E-2</v>
      </c>
      <c r="H12">
        <v>2000</v>
      </c>
    </row>
    <row r="13" spans="1:8" x14ac:dyDescent="0.2">
      <c r="A13">
        <f t="shared" si="0"/>
        <v>0.94058103122507652</v>
      </c>
      <c r="B13">
        <v>168.149209302325</v>
      </c>
      <c r="C13">
        <v>94.679733805670793</v>
      </c>
      <c r="D13">
        <f t="shared" si="1"/>
        <v>1.0561922386183404</v>
      </c>
      <c r="E13">
        <f t="shared" si="2"/>
        <v>5.619223861834044E-2</v>
      </c>
      <c r="F13">
        <f t="shared" si="3"/>
        <v>0.94569528514024281</v>
      </c>
      <c r="G13">
        <f t="shared" si="4"/>
        <v>5.9418968774923475E-2</v>
      </c>
      <c r="H13">
        <v>2100</v>
      </c>
    </row>
    <row r="14" spans="1:8" x14ac:dyDescent="0.2">
      <c r="A14">
        <f t="shared" si="0"/>
        <v>0.94853459143898866</v>
      </c>
      <c r="B14">
        <v>169.571080270067</v>
      </c>
      <c r="C14">
        <v>97.603106841941454</v>
      </c>
      <c r="D14">
        <f t="shared" si="1"/>
        <v>1.0245575498118116</v>
      </c>
      <c r="E14">
        <f t="shared" si="2"/>
        <v>2.4557549811811574E-2</v>
      </c>
      <c r="F14">
        <f t="shared" si="3"/>
        <v>0.4771661296091535</v>
      </c>
      <c r="G14">
        <f t="shared" si="4"/>
        <v>5.1465408561011339E-2</v>
      </c>
      <c r="H14">
        <v>2200</v>
      </c>
    </row>
    <row r="15" spans="1:8" x14ac:dyDescent="0.2">
      <c r="A15">
        <f t="shared" si="0"/>
        <v>0.96639843419903504</v>
      </c>
      <c r="B15">
        <v>172.764628657164</v>
      </c>
      <c r="C15">
        <v>97.208638333883655</v>
      </c>
      <c r="D15">
        <f t="shared" si="1"/>
        <v>1.0287151606478513</v>
      </c>
      <c r="E15">
        <f t="shared" si="2"/>
        <v>2.871516064785129E-2</v>
      </c>
      <c r="F15">
        <f t="shared" si="3"/>
        <v>0.85457805204502268</v>
      </c>
      <c r="G15">
        <f t="shared" si="4"/>
        <v>3.3601565800964961E-2</v>
      </c>
      <c r="H15">
        <v>2300</v>
      </c>
    </row>
    <row r="16" spans="1:8" x14ac:dyDescent="0.2">
      <c r="A16">
        <f>B16/$B$16</f>
        <v>1</v>
      </c>
      <c r="B16">
        <v>178.771635531833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D575-4C9B-754A-AE7B-6854334B6499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0.46771966375263374</v>
      </c>
      <c r="B2">
        <v>53.146489889999998</v>
      </c>
      <c r="C2">
        <v>42.754730700000003</v>
      </c>
      <c r="D2">
        <f t="shared" ref="D2:D15" si="1">1/C2*100</f>
        <v>2.3389224622107139</v>
      </c>
      <c r="E2">
        <f t="shared" ref="E2:E15" si="2">D2-$D$16</f>
        <v>1.3389224622107139</v>
      </c>
      <c r="F2">
        <f>IFERROR(E2/G2,0)</f>
        <v>2.515446036669815</v>
      </c>
      <c r="G2">
        <f>$A$16-A2</f>
        <v>0.53228033624736626</v>
      </c>
      <c r="H2">
        <v>1000</v>
      </c>
    </row>
    <row r="3" spans="1:8" x14ac:dyDescent="0.2">
      <c r="A3">
        <f t="shared" si="0"/>
        <v>0.4884151984252505</v>
      </c>
      <c r="B3">
        <v>55.498101570000003</v>
      </c>
      <c r="C3">
        <v>46.955052090000002</v>
      </c>
      <c r="D3">
        <f t="shared" si="1"/>
        <v>2.1296962850414336</v>
      </c>
      <c r="E3">
        <f t="shared" si="2"/>
        <v>1.1296962850414336</v>
      </c>
      <c r="F3">
        <f t="shared" ref="F3:F16" si="3">IFERROR(E3/G3,0)</f>
        <v>2.2082287854604483</v>
      </c>
      <c r="G3">
        <f t="shared" ref="G3:G16" si="4">$A$16-A3</f>
        <v>0.5115848015747495</v>
      </c>
      <c r="H3">
        <v>1100</v>
      </c>
    </row>
    <row r="4" spans="1:8" x14ac:dyDescent="0.2">
      <c r="A4">
        <f t="shared" si="0"/>
        <v>0.50756114063427249</v>
      </c>
      <c r="B4">
        <v>57.673634700000001</v>
      </c>
      <c r="C4">
        <v>50.95280477</v>
      </c>
      <c r="D4">
        <f t="shared" si="1"/>
        <v>1.9626004976840454</v>
      </c>
      <c r="E4">
        <f t="shared" si="2"/>
        <v>0.96260049768404543</v>
      </c>
      <c r="F4">
        <f t="shared" si="3"/>
        <v>1.9547614477945483</v>
      </c>
      <c r="G4">
        <f t="shared" si="4"/>
        <v>0.49243885936572751</v>
      </c>
      <c r="H4">
        <v>1200</v>
      </c>
    </row>
    <row r="5" spans="1:8" x14ac:dyDescent="0.2">
      <c r="A5">
        <f t="shared" si="0"/>
        <v>0.52496452466265442</v>
      </c>
      <c r="B5">
        <v>59.651162790000001</v>
      </c>
      <c r="C5">
        <v>54.40340088</v>
      </c>
      <c r="D5">
        <f t="shared" si="1"/>
        <v>1.8381203818594805</v>
      </c>
      <c r="E5">
        <f t="shared" si="2"/>
        <v>0.83812038185948046</v>
      </c>
      <c r="F5">
        <f t="shared" si="3"/>
        <v>1.7643321927994762</v>
      </c>
      <c r="G5">
        <f t="shared" si="4"/>
        <v>0.47503547533734558</v>
      </c>
      <c r="H5">
        <v>1300</v>
      </c>
    </row>
    <row r="6" spans="1:8" x14ac:dyDescent="0.2">
      <c r="A6">
        <f t="shared" si="0"/>
        <v>0.5467945220814634</v>
      </c>
      <c r="B6">
        <v>62.131682269999999</v>
      </c>
      <c r="C6">
        <v>58.393668750000003</v>
      </c>
      <c r="D6">
        <f t="shared" si="1"/>
        <v>1.7125144239203158</v>
      </c>
      <c r="E6">
        <f t="shared" si="2"/>
        <v>0.71251442392031583</v>
      </c>
      <c r="F6">
        <f t="shared" si="3"/>
        <v>1.5721663983249334</v>
      </c>
      <c r="G6">
        <f t="shared" si="4"/>
        <v>0.4532054779185366</v>
      </c>
      <c r="H6">
        <v>1400</v>
      </c>
    </row>
    <row r="7" spans="1:8" x14ac:dyDescent="0.2">
      <c r="A7">
        <f t="shared" si="0"/>
        <v>0.57677635982465547</v>
      </c>
      <c r="B7">
        <v>65.538486730000002</v>
      </c>
      <c r="C7">
        <v>63.0438081</v>
      </c>
      <c r="D7">
        <f t="shared" si="1"/>
        <v>1.5861985976700541</v>
      </c>
      <c r="E7">
        <f t="shared" si="2"/>
        <v>0.58619859767005411</v>
      </c>
      <c r="F7">
        <f t="shared" si="3"/>
        <v>1.3850799955956805</v>
      </c>
      <c r="G7">
        <f t="shared" si="4"/>
        <v>0.42322364017534453</v>
      </c>
      <c r="H7">
        <v>1500</v>
      </c>
    </row>
    <row r="8" spans="1:8" x14ac:dyDescent="0.2">
      <c r="A8">
        <f t="shared" si="0"/>
        <v>0.61454649582467369</v>
      </c>
      <c r="B8">
        <v>69.830267269999993</v>
      </c>
      <c r="C8">
        <v>66.526441109999993</v>
      </c>
      <c r="D8">
        <f t="shared" si="1"/>
        <v>1.503161725345449</v>
      </c>
      <c r="E8">
        <f t="shared" si="2"/>
        <v>0.50316172534544901</v>
      </c>
      <c r="F8">
        <f t="shared" si="3"/>
        <v>1.3053759270445815</v>
      </c>
      <c r="G8">
        <f t="shared" si="4"/>
        <v>0.38545350417532631</v>
      </c>
      <c r="H8">
        <v>1600</v>
      </c>
    </row>
    <row r="9" spans="1:8" x14ac:dyDescent="0.2">
      <c r="A9">
        <f t="shared" si="0"/>
        <v>0.64593750634686453</v>
      </c>
      <c r="B9">
        <v>73.397194540000001</v>
      </c>
      <c r="C9">
        <v>70.446483270000002</v>
      </c>
      <c r="D9">
        <f t="shared" si="1"/>
        <v>1.4195172755001884</v>
      </c>
      <c r="E9">
        <f t="shared" si="2"/>
        <v>0.41951727550018836</v>
      </c>
      <c r="F9">
        <f t="shared" si="3"/>
        <v>1.1848678779039978</v>
      </c>
      <c r="G9">
        <f t="shared" si="4"/>
        <v>0.35406249365313547</v>
      </c>
      <c r="H9">
        <v>1700</v>
      </c>
    </row>
    <row r="10" spans="1:8" x14ac:dyDescent="0.2">
      <c r="A10">
        <f t="shared" si="0"/>
        <v>0.66430696019355473</v>
      </c>
      <c r="B10">
        <v>75.484496120000003</v>
      </c>
      <c r="C10">
        <v>74.886436939999996</v>
      </c>
      <c r="D10">
        <f t="shared" si="1"/>
        <v>1.3353552937779818</v>
      </c>
      <c r="E10">
        <f t="shared" si="2"/>
        <v>0.33535529377798179</v>
      </c>
      <c r="F10">
        <f t="shared" si="3"/>
        <v>0.99899388432760416</v>
      </c>
      <c r="G10">
        <f t="shared" si="4"/>
        <v>0.33569303980644527</v>
      </c>
      <c r="H10">
        <v>1800</v>
      </c>
    </row>
    <row r="11" spans="1:8" x14ac:dyDescent="0.2">
      <c r="A11">
        <f t="shared" si="0"/>
        <v>0.67853455627482984</v>
      </c>
      <c r="B11">
        <v>77.101162790000004</v>
      </c>
      <c r="C11">
        <v>74.830950169999994</v>
      </c>
      <c r="D11">
        <f t="shared" si="1"/>
        <v>1.336345452955245</v>
      </c>
      <c r="E11">
        <f t="shared" si="2"/>
        <v>0.33634545295524498</v>
      </c>
      <c r="F11">
        <f t="shared" si="3"/>
        <v>1.0462880521702238</v>
      </c>
      <c r="G11">
        <f t="shared" si="4"/>
        <v>0.32146544372517016</v>
      </c>
      <c r="H11">
        <v>1900</v>
      </c>
    </row>
    <row r="12" spans="1:8" x14ac:dyDescent="0.2">
      <c r="A12">
        <f t="shared" si="0"/>
        <v>0.70867652523022817</v>
      </c>
      <c r="B12">
        <v>80.526162790000001</v>
      </c>
      <c r="C12">
        <v>82.867839419999996</v>
      </c>
      <c r="D12">
        <f t="shared" si="1"/>
        <v>1.2067407657772864</v>
      </c>
      <c r="E12">
        <f t="shared" si="2"/>
        <v>0.20674076577728639</v>
      </c>
      <c r="F12">
        <f t="shared" si="3"/>
        <v>0.70966051033364286</v>
      </c>
      <c r="G12">
        <f t="shared" si="4"/>
        <v>0.29132347476977183</v>
      </c>
      <c r="H12">
        <v>2000</v>
      </c>
    </row>
    <row r="13" spans="1:8" x14ac:dyDescent="0.2">
      <c r="A13">
        <f t="shared" si="0"/>
        <v>0.74115977923673426</v>
      </c>
      <c r="B13">
        <v>84.21720053</v>
      </c>
      <c r="C13">
        <v>85.523796709999999</v>
      </c>
      <c r="D13">
        <f t="shared" si="1"/>
        <v>1.1692652085955317</v>
      </c>
      <c r="E13">
        <f t="shared" si="2"/>
        <v>0.16926520859553174</v>
      </c>
      <c r="F13">
        <f t="shared" si="3"/>
        <v>0.65393704307778755</v>
      </c>
      <c r="G13">
        <f t="shared" si="4"/>
        <v>0.25884022076326574</v>
      </c>
      <c r="H13">
        <v>2100</v>
      </c>
    </row>
    <row r="14" spans="1:8" x14ac:dyDescent="0.2">
      <c r="A14">
        <f t="shared" si="0"/>
        <v>0.77983607549360523</v>
      </c>
      <c r="B14">
        <v>88.611947099999995</v>
      </c>
      <c r="C14">
        <v>88.679847289999998</v>
      </c>
      <c r="D14">
        <f t="shared" si="1"/>
        <v>1.1276519193022621</v>
      </c>
      <c r="E14">
        <f t="shared" si="2"/>
        <v>0.12765191930226205</v>
      </c>
      <c r="F14">
        <f t="shared" si="3"/>
        <v>0.57980397827871355</v>
      </c>
      <c r="G14">
        <f t="shared" si="4"/>
        <v>0.22016392450639477</v>
      </c>
      <c r="H14">
        <v>2200</v>
      </c>
    </row>
    <row r="15" spans="1:8" x14ac:dyDescent="0.2">
      <c r="A15">
        <f t="shared" si="0"/>
        <v>0.79602223088930213</v>
      </c>
      <c r="B15">
        <v>90.451162789999998</v>
      </c>
      <c r="C15">
        <v>92.046921830000002</v>
      </c>
      <c r="D15">
        <f t="shared" si="1"/>
        <v>1.0864024348873764</v>
      </c>
      <c r="E15">
        <f t="shared" si="2"/>
        <v>8.6402434887376423E-2</v>
      </c>
      <c r="F15">
        <f t="shared" si="3"/>
        <v>0.42358750791360106</v>
      </c>
      <c r="G15">
        <f t="shared" si="4"/>
        <v>0.20397776911069787</v>
      </c>
      <c r="H15">
        <v>2300</v>
      </c>
    </row>
    <row r="16" spans="1:8" x14ac:dyDescent="0.2">
      <c r="A16">
        <f>B16/$B$16</f>
        <v>1</v>
      </c>
      <c r="B16">
        <v>113.62894060000001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59526-B852-F242-A3F7-3FC81F3AD9E0}">
  <dimension ref="A1:H16"/>
  <sheetViews>
    <sheetView workbookViewId="0">
      <selection activeCell="B2" sqref="B2:C16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8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11</v>
      </c>
    </row>
    <row r="2" spans="1:8" x14ac:dyDescent="0.2">
      <c r="A2">
        <f t="shared" ref="A2:A15" si="0">B2/$B$16</f>
        <v>0.55702894007674031</v>
      </c>
      <c r="B2">
        <v>43.173611110000003</v>
      </c>
      <c r="C2">
        <v>49.735794980000001</v>
      </c>
      <c r="D2">
        <f t="shared" ref="D2:D15" si="1">1/C2*100</f>
        <v>2.0106243408839144</v>
      </c>
      <c r="E2">
        <f t="shared" ref="E2:E15" si="2">D2-$D$16</f>
        <v>1.0106243408839144</v>
      </c>
      <c r="F2">
        <f>IFERROR(E2/G2,0)</f>
        <v>2.2814680964914387</v>
      </c>
      <c r="G2">
        <f>$A$16-A2</f>
        <v>0.44297105992325969</v>
      </c>
      <c r="H2">
        <v>1000</v>
      </c>
    </row>
    <row r="3" spans="1:8" x14ac:dyDescent="0.2">
      <c r="A3">
        <f t="shared" si="0"/>
        <v>0.56614722973589593</v>
      </c>
      <c r="B3">
        <v>43.880341880000003</v>
      </c>
      <c r="C3">
        <v>54.339077150000001</v>
      </c>
      <c r="D3">
        <f t="shared" si="1"/>
        <v>1.840296251700329</v>
      </c>
      <c r="E3">
        <f t="shared" si="2"/>
        <v>0.84029625170032896</v>
      </c>
      <c r="F3">
        <f t="shared" ref="F3:F16" si="3">IFERROR(E3/G3,0)</f>
        <v>1.9368235246920424</v>
      </c>
      <c r="G3">
        <f t="shared" ref="G3:G16" si="4">$A$16-A3</f>
        <v>0.43385277026410407</v>
      </c>
      <c r="H3">
        <v>1100</v>
      </c>
    </row>
    <row r="4" spans="1:8" x14ac:dyDescent="0.2">
      <c r="A4">
        <f t="shared" si="0"/>
        <v>0.58242988981388366</v>
      </c>
      <c r="B4">
        <v>45.142361110000003</v>
      </c>
      <c r="C4">
        <v>58.672117669999999</v>
      </c>
      <c r="D4">
        <f t="shared" si="1"/>
        <v>1.7043870917093491</v>
      </c>
      <c r="E4">
        <f t="shared" si="2"/>
        <v>0.7043870917093491</v>
      </c>
      <c r="F4">
        <f t="shared" si="3"/>
        <v>1.6868714367400357</v>
      </c>
      <c r="G4">
        <f t="shared" si="4"/>
        <v>0.41757011018611634</v>
      </c>
      <c r="H4">
        <v>1200</v>
      </c>
    </row>
    <row r="5" spans="1:8" x14ac:dyDescent="0.2">
      <c r="A5">
        <f t="shared" si="0"/>
        <v>0.59145513568125907</v>
      </c>
      <c r="B5">
        <v>45.841880340000003</v>
      </c>
      <c r="C5">
        <v>62.377502839999998</v>
      </c>
      <c r="D5">
        <f t="shared" si="1"/>
        <v>1.6031420856410801</v>
      </c>
      <c r="E5">
        <f t="shared" si="2"/>
        <v>0.60314208564108007</v>
      </c>
      <c r="F5">
        <f t="shared" si="3"/>
        <v>1.4763178742849576</v>
      </c>
      <c r="G5">
        <f t="shared" si="4"/>
        <v>0.40854486431874093</v>
      </c>
      <c r="H5">
        <v>1300</v>
      </c>
    </row>
    <row r="6" spans="1:8" x14ac:dyDescent="0.2">
      <c r="A6">
        <f t="shared" si="0"/>
        <v>0.61063893709083494</v>
      </c>
      <c r="B6">
        <v>47.32875817</v>
      </c>
      <c r="C6">
        <v>65.073609640000001</v>
      </c>
      <c r="D6">
        <f t="shared" si="1"/>
        <v>1.5367212692398602</v>
      </c>
      <c r="E6">
        <f t="shared" si="2"/>
        <v>0.53672126923986019</v>
      </c>
      <c r="F6">
        <f t="shared" si="3"/>
        <v>1.3784667250229721</v>
      </c>
      <c r="G6">
        <f t="shared" si="4"/>
        <v>0.38936106290916506</v>
      </c>
      <c r="H6">
        <v>1400</v>
      </c>
    </row>
    <row r="7" spans="1:8" x14ac:dyDescent="0.2">
      <c r="A7">
        <f t="shared" si="0"/>
        <v>0.65596548422003575</v>
      </c>
      <c r="B7">
        <v>50.841880340000003</v>
      </c>
      <c r="C7">
        <v>69.716540129999998</v>
      </c>
      <c r="D7">
        <f t="shared" si="1"/>
        <v>1.4343798446327172</v>
      </c>
      <c r="E7">
        <f t="shared" si="2"/>
        <v>0.43437984463271717</v>
      </c>
      <c r="F7">
        <f t="shared" si="3"/>
        <v>1.2626054209936759</v>
      </c>
      <c r="G7">
        <f t="shared" si="4"/>
        <v>0.34403451577996425</v>
      </c>
      <c r="H7">
        <v>1500</v>
      </c>
    </row>
    <row r="8" spans="1:8" x14ac:dyDescent="0.2">
      <c r="A8">
        <f t="shared" si="0"/>
        <v>0.66939214356674237</v>
      </c>
      <c r="B8">
        <v>51.882539680000001</v>
      </c>
      <c r="C8">
        <v>75.13189509</v>
      </c>
      <c r="D8">
        <f t="shared" si="1"/>
        <v>1.3309926480652545</v>
      </c>
      <c r="E8">
        <f t="shared" si="2"/>
        <v>0.33099264806525452</v>
      </c>
      <c r="F8">
        <f t="shared" si="3"/>
        <v>1.0011638913731458</v>
      </c>
      <c r="G8">
        <f t="shared" si="4"/>
        <v>0.33060785643325763</v>
      </c>
      <c r="H8">
        <v>1600</v>
      </c>
    </row>
    <row r="9" spans="1:8" x14ac:dyDescent="0.2">
      <c r="A9">
        <f t="shared" si="0"/>
        <v>0.72835255418565947</v>
      </c>
      <c r="B9">
        <v>56.452380949999998</v>
      </c>
      <c r="C9">
        <v>76.961307410000003</v>
      </c>
      <c r="D9">
        <f t="shared" si="1"/>
        <v>1.2993542257184478</v>
      </c>
      <c r="E9">
        <f t="shared" si="2"/>
        <v>0.29935422571844783</v>
      </c>
      <c r="F9">
        <f t="shared" si="3"/>
        <v>1.1019953632217978</v>
      </c>
      <c r="G9">
        <f t="shared" si="4"/>
        <v>0.27164744581434053</v>
      </c>
      <c r="H9">
        <v>1700</v>
      </c>
    </row>
    <row r="10" spans="1:8" x14ac:dyDescent="0.2">
      <c r="A10">
        <f t="shared" si="0"/>
        <v>0.75857002059362821</v>
      </c>
      <c r="B10">
        <v>58.794444439999999</v>
      </c>
      <c r="C10">
        <v>81.234813389999999</v>
      </c>
      <c r="D10">
        <f t="shared" si="1"/>
        <v>1.2309993194655384</v>
      </c>
      <c r="E10">
        <f t="shared" si="2"/>
        <v>0.23099931946553842</v>
      </c>
      <c r="F10">
        <f t="shared" si="3"/>
        <v>0.95679633504306183</v>
      </c>
      <c r="G10">
        <f t="shared" si="4"/>
        <v>0.24142997940637179</v>
      </c>
      <c r="H10">
        <v>1800</v>
      </c>
    </row>
    <row r="11" spans="1:8" x14ac:dyDescent="0.2">
      <c r="A11">
        <f t="shared" si="0"/>
        <v>0.80896489060458188</v>
      </c>
      <c r="B11">
        <v>62.700396830000003</v>
      </c>
      <c r="C11">
        <v>86.02606625</v>
      </c>
      <c r="D11">
        <f t="shared" si="1"/>
        <v>1.1624383673361329</v>
      </c>
      <c r="E11">
        <f t="shared" si="2"/>
        <v>0.16243836733613293</v>
      </c>
      <c r="F11">
        <f t="shared" si="3"/>
        <v>0.85030635389595521</v>
      </c>
      <c r="G11">
        <f t="shared" si="4"/>
        <v>0.19103510939541812</v>
      </c>
      <c r="H11">
        <v>1900</v>
      </c>
    </row>
    <row r="12" spans="1:8" x14ac:dyDescent="0.2">
      <c r="A12">
        <f t="shared" si="0"/>
        <v>0.82071498972899004</v>
      </c>
      <c r="B12">
        <v>63.611111110000003</v>
      </c>
      <c r="C12">
        <v>85.754771739999995</v>
      </c>
      <c r="D12">
        <f t="shared" si="1"/>
        <v>1.1661158670352494</v>
      </c>
      <c r="E12">
        <f t="shared" si="2"/>
        <v>0.16611586703524939</v>
      </c>
      <c r="F12">
        <f t="shared" si="3"/>
        <v>0.92654632299792439</v>
      </c>
      <c r="G12">
        <f t="shared" si="4"/>
        <v>0.17928501027100996</v>
      </c>
      <c r="H12">
        <v>2000</v>
      </c>
    </row>
    <row r="13" spans="1:8" x14ac:dyDescent="0.2">
      <c r="A13">
        <f t="shared" si="0"/>
        <v>0.86115801599777275</v>
      </c>
      <c r="B13">
        <v>66.745726500000004</v>
      </c>
      <c r="C13">
        <v>91.219768090000002</v>
      </c>
      <c r="D13">
        <f t="shared" si="1"/>
        <v>1.09625360921042</v>
      </c>
      <c r="E13">
        <f t="shared" si="2"/>
        <v>9.6253609210420032E-2</v>
      </c>
      <c r="F13">
        <f t="shared" si="3"/>
        <v>0.69326011078087135</v>
      </c>
      <c r="G13">
        <f t="shared" si="4"/>
        <v>0.13884198400222725</v>
      </c>
      <c r="H13">
        <v>2100</v>
      </c>
    </row>
    <row r="14" spans="1:8" x14ac:dyDescent="0.2">
      <c r="A14">
        <f t="shared" si="0"/>
        <v>0.86934586786814638</v>
      </c>
      <c r="B14">
        <v>67.380341880000003</v>
      </c>
      <c r="C14">
        <v>93.726887009999999</v>
      </c>
      <c r="D14">
        <f t="shared" si="1"/>
        <v>1.0669297059800003</v>
      </c>
      <c r="E14">
        <f t="shared" si="2"/>
        <v>6.6929705980000254E-2</v>
      </c>
      <c r="F14">
        <f t="shared" si="3"/>
        <v>0.51226627805736824</v>
      </c>
      <c r="G14">
        <f t="shared" si="4"/>
        <v>0.13065413213185362</v>
      </c>
      <c r="H14">
        <v>2200</v>
      </c>
    </row>
    <row r="15" spans="1:8" x14ac:dyDescent="0.2">
      <c r="A15">
        <f t="shared" si="0"/>
        <v>0.9031302513052597</v>
      </c>
      <c r="B15">
        <v>69.998866210000003</v>
      </c>
      <c r="C15">
        <v>96.663669780000006</v>
      </c>
      <c r="D15">
        <f t="shared" si="1"/>
        <v>1.0345148309348617</v>
      </c>
      <c r="E15">
        <f t="shared" si="2"/>
        <v>3.451483093486174E-2</v>
      </c>
      <c r="F15">
        <f t="shared" si="3"/>
        <v>0.35630143981921758</v>
      </c>
      <c r="G15">
        <f t="shared" si="4"/>
        <v>9.6869748694740299E-2</v>
      </c>
      <c r="H15">
        <v>2300</v>
      </c>
    </row>
    <row r="16" spans="1:8" x14ac:dyDescent="0.2">
      <c r="A16">
        <f>B16/$B$16</f>
        <v>1</v>
      </c>
      <c r="B16">
        <v>77.506944439999998</v>
      </c>
      <c r="C16">
        <v>100</v>
      </c>
      <c r="D16">
        <f>1/C16*100</f>
        <v>1</v>
      </c>
      <c r="E16">
        <f>D16-$D$16</f>
        <v>0</v>
      </c>
      <c r="F16">
        <f t="shared" si="3"/>
        <v>0</v>
      </c>
      <c r="G16">
        <f t="shared" si="4"/>
        <v>0</v>
      </c>
      <c r="H16">
        <v>2400</v>
      </c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CBB-20F0-7C46-83B1-7FDBC565404C}">
  <dimension ref="A1:G22"/>
  <sheetViews>
    <sheetView workbookViewId="0">
      <selection activeCell="F29" sqref="F29"/>
    </sheetView>
  </sheetViews>
  <sheetFormatPr baseColWidth="10" defaultColWidth="11" defaultRowHeight="16" x14ac:dyDescent="0.2"/>
  <cols>
    <col min="2" max="2" width="14.6640625" customWidth="1"/>
    <col min="3" max="3" width="16" customWidth="1"/>
    <col min="4" max="4" width="16.5" customWidth="1"/>
    <col min="5" max="5" width="14.1640625" customWidth="1"/>
    <col min="6" max="6" width="12.1640625" customWidth="1"/>
    <col min="7" max="7" width="17.83203125" customWidth="1"/>
  </cols>
  <sheetData>
    <row r="1" spans="1:7" x14ac:dyDescent="0.2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</row>
    <row r="2" spans="1:7" x14ac:dyDescent="0.2">
      <c r="A2">
        <f>B2/$B$22</f>
        <v>0.31212302592200397</v>
      </c>
      <c r="B2">
        <v>90.266311584553904</v>
      </c>
      <c r="C2">
        <v>63.0287236066197</v>
      </c>
      <c r="D2">
        <f>1/C2*100</f>
        <v>1.586578218275982</v>
      </c>
      <c r="E2">
        <f>D2-$D$22</f>
        <v>0.58600189240290823</v>
      </c>
      <c r="F2">
        <f>IFERROR(E2/G2,0)</f>
        <v>0.85189927048853875</v>
      </c>
      <c r="G2">
        <f>$A$22-A2</f>
        <v>0.68787697407799597</v>
      </c>
    </row>
    <row r="3" spans="1:7" x14ac:dyDescent="0.2">
      <c r="A3">
        <f t="shared" ref="A3:A22" si="0">B3/$B$22</f>
        <v>0.34803628159675842</v>
      </c>
      <c r="B3">
        <v>100.65246338215699</v>
      </c>
      <c r="C3">
        <v>72.177515693361201</v>
      </c>
      <c r="D3">
        <f t="shared" ref="D3:D22" si="1">1/C3*100</f>
        <v>1.3854730110806222</v>
      </c>
      <c r="E3">
        <f t="shared" ref="E3:E22" si="2">D3-$D$22</f>
        <v>0.38489668520754838</v>
      </c>
      <c r="F3">
        <f t="shared" ref="F3:F22" si="3">IFERROR(E3/G3,0)</f>
        <v>0.59036519110330088</v>
      </c>
      <c r="G3">
        <f t="shared" ref="G3:G22" si="4">$A$22-A3</f>
        <v>0.65196371840324163</v>
      </c>
    </row>
    <row r="4" spans="1:7" x14ac:dyDescent="0.2">
      <c r="A4">
        <f t="shared" si="0"/>
        <v>0.38210783185229391</v>
      </c>
      <c r="B4">
        <v>110.50599201065199</v>
      </c>
      <c r="C4">
        <v>81.326003424006004</v>
      </c>
      <c r="D4">
        <f t="shared" si="1"/>
        <v>1.2296190122442654</v>
      </c>
      <c r="E4">
        <f t="shared" si="2"/>
        <v>0.22904268637119163</v>
      </c>
      <c r="F4">
        <f t="shared" si="3"/>
        <v>0.37068391246616245</v>
      </c>
      <c r="G4">
        <f t="shared" si="4"/>
        <v>0.61789216814770609</v>
      </c>
    </row>
    <row r="5" spans="1:7" x14ac:dyDescent="0.2">
      <c r="A5">
        <f t="shared" si="0"/>
        <v>0.4161793821078294</v>
      </c>
      <c r="B5">
        <v>120.35952063914699</v>
      </c>
      <c r="C5">
        <v>92.0744911546509</v>
      </c>
      <c r="D5">
        <f t="shared" si="1"/>
        <v>1.0860771397806284</v>
      </c>
      <c r="E5">
        <f t="shared" si="2"/>
        <v>8.5500813907554596E-2</v>
      </c>
      <c r="F5">
        <f t="shared" si="3"/>
        <v>0.14645048716547088</v>
      </c>
      <c r="G5">
        <f t="shared" si="4"/>
        <v>0.58382061789217055</v>
      </c>
    </row>
    <row r="6" spans="1:7" x14ac:dyDescent="0.2">
      <c r="A6">
        <f t="shared" si="0"/>
        <v>0.45209263778258701</v>
      </c>
      <c r="B6">
        <v>130.74567243675099</v>
      </c>
      <c r="C6">
        <v>90.137568955678105</v>
      </c>
      <c r="D6">
        <f t="shared" si="1"/>
        <v>1.1094153210319151</v>
      </c>
      <c r="E6">
        <f t="shared" si="2"/>
        <v>0.10883899515884132</v>
      </c>
      <c r="F6">
        <f t="shared" si="3"/>
        <v>0.19864488536595598</v>
      </c>
      <c r="G6">
        <f t="shared" si="4"/>
        <v>0.54790736221741299</v>
      </c>
    </row>
    <row r="7" spans="1:7" x14ac:dyDescent="0.2">
      <c r="A7">
        <f t="shared" si="0"/>
        <v>0.48432248261890382</v>
      </c>
      <c r="B7">
        <v>140.066577896138</v>
      </c>
      <c r="C7">
        <v>90.371466615940605</v>
      </c>
      <c r="D7">
        <f t="shared" si="1"/>
        <v>1.106543954022331</v>
      </c>
      <c r="E7">
        <f t="shared" si="2"/>
        <v>0.1059676281492572</v>
      </c>
      <c r="F7">
        <f t="shared" si="3"/>
        <v>0.20549204605122426</v>
      </c>
      <c r="G7">
        <f t="shared" si="4"/>
        <v>0.51567751738109613</v>
      </c>
    </row>
    <row r="8" spans="1:7" x14ac:dyDescent="0.2">
      <c r="A8">
        <f t="shared" si="0"/>
        <v>0.50458124223030254</v>
      </c>
      <c r="B8">
        <v>145.925432756324</v>
      </c>
      <c r="C8">
        <v>96.660528818717793</v>
      </c>
      <c r="D8">
        <f t="shared" si="1"/>
        <v>1.0345484472523963</v>
      </c>
      <c r="E8">
        <f t="shared" si="2"/>
        <v>3.3972121379322484E-2</v>
      </c>
      <c r="F8">
        <f t="shared" si="3"/>
        <v>6.8572537568540981E-2</v>
      </c>
      <c r="G8">
        <f t="shared" si="4"/>
        <v>0.49541875776969746</v>
      </c>
    </row>
    <row r="9" spans="1:7" x14ac:dyDescent="0.2">
      <c r="A9">
        <f t="shared" si="0"/>
        <v>0.5193148855840487</v>
      </c>
      <c r="B9">
        <v>150.186418109187</v>
      </c>
      <c r="C9">
        <v>101.805820810348</v>
      </c>
      <c r="D9">
        <f t="shared" si="1"/>
        <v>0.9822621064692163</v>
      </c>
      <c r="E9">
        <f t="shared" si="2"/>
        <v>-1.8314219403857468E-2</v>
      </c>
      <c r="F9">
        <f t="shared" si="3"/>
        <v>-3.8100242455208676E-2</v>
      </c>
      <c r="G9">
        <f t="shared" si="4"/>
        <v>0.4806851144159513</v>
      </c>
    </row>
    <row r="10" spans="1:7" x14ac:dyDescent="0.2">
      <c r="A10">
        <f t="shared" si="0"/>
        <v>0.55430728854919697</v>
      </c>
      <c r="B10">
        <v>160.306258322237</v>
      </c>
      <c r="C10">
        <v>103.41160357618401</v>
      </c>
      <c r="D10">
        <f t="shared" si="1"/>
        <v>0.96700947032824369</v>
      </c>
      <c r="E10">
        <f t="shared" si="2"/>
        <v>-3.3566855544830076E-2</v>
      </c>
      <c r="F10">
        <f t="shared" si="3"/>
        <v>-7.5313898303529456E-2</v>
      </c>
      <c r="G10">
        <f t="shared" si="4"/>
        <v>0.44569271145080303</v>
      </c>
    </row>
    <row r="11" spans="1:7" x14ac:dyDescent="0.2">
      <c r="A11">
        <f t="shared" si="0"/>
        <v>0.59114139693356049</v>
      </c>
      <c r="B11">
        <v>170.95872170439401</v>
      </c>
      <c r="C11">
        <v>101.24626212668799</v>
      </c>
      <c r="D11">
        <f t="shared" si="1"/>
        <v>0.98769078383231013</v>
      </c>
      <c r="E11">
        <f t="shared" si="2"/>
        <v>-1.2885542040763642E-2</v>
      </c>
      <c r="F11">
        <f t="shared" si="3"/>
        <v>-3.1515888241367744E-2</v>
      </c>
      <c r="G11">
        <f t="shared" si="4"/>
        <v>0.40885860306643951</v>
      </c>
    </row>
    <row r="12" spans="1:7" x14ac:dyDescent="0.2">
      <c r="A12">
        <f t="shared" si="0"/>
        <v>0.62429209447948664</v>
      </c>
      <c r="B12">
        <v>180.545938748335</v>
      </c>
      <c r="C12">
        <v>102.280311964999</v>
      </c>
      <c r="D12">
        <f t="shared" si="1"/>
        <v>0.97770526975143235</v>
      </c>
      <c r="E12">
        <f t="shared" si="2"/>
        <v>-2.287105612164142E-2</v>
      </c>
      <c r="F12">
        <f t="shared" si="3"/>
        <v>-6.0874567145334339E-2</v>
      </c>
      <c r="G12">
        <f t="shared" si="4"/>
        <v>0.37570790552051336</v>
      </c>
    </row>
    <row r="13" spans="1:7" x14ac:dyDescent="0.2">
      <c r="A13">
        <f t="shared" si="0"/>
        <v>0.66020535015424076</v>
      </c>
      <c r="B13">
        <v>190.932090545938</v>
      </c>
      <c r="C13">
        <v>101.486246908883</v>
      </c>
      <c r="D13">
        <f t="shared" si="1"/>
        <v>0.98535518896252605</v>
      </c>
      <c r="E13">
        <f t="shared" si="2"/>
        <v>-1.5221136910547717E-2</v>
      </c>
      <c r="F13">
        <f t="shared" si="3"/>
        <v>-4.4795104682951739E-2</v>
      </c>
      <c r="G13">
        <f t="shared" si="4"/>
        <v>0.33979464984575924</v>
      </c>
    </row>
    <row r="14" spans="1:7" x14ac:dyDescent="0.2">
      <c r="A14">
        <f t="shared" si="0"/>
        <v>0.69151434228095177</v>
      </c>
      <c r="B14">
        <v>199.98668442077201</v>
      </c>
      <c r="C14">
        <v>99.891420962526098</v>
      </c>
      <c r="D14">
        <f t="shared" si="1"/>
        <v>1.001086970596951</v>
      </c>
      <c r="E14">
        <f t="shared" si="2"/>
        <v>5.1064472387718496E-4</v>
      </c>
      <c r="F14">
        <f t="shared" si="3"/>
        <v>1.6553272772968008E-3</v>
      </c>
      <c r="G14">
        <f t="shared" si="4"/>
        <v>0.30848565771904823</v>
      </c>
    </row>
    <row r="15" spans="1:7" x14ac:dyDescent="0.2">
      <c r="A15">
        <f t="shared" si="0"/>
        <v>0.72834845066531517</v>
      </c>
      <c r="B15">
        <v>210.63914780292899</v>
      </c>
      <c r="C15">
        <v>102.983222370173</v>
      </c>
      <c r="D15">
        <f t="shared" si="1"/>
        <v>0.97103195742458126</v>
      </c>
      <c r="E15">
        <f t="shared" si="2"/>
        <v>-2.9544368448492508E-2</v>
      </c>
      <c r="F15">
        <f t="shared" si="3"/>
        <v>-0.10875832853098417</v>
      </c>
      <c r="G15">
        <f t="shared" si="4"/>
        <v>0.27165154933468483</v>
      </c>
    </row>
    <row r="16" spans="1:7" x14ac:dyDescent="0.2">
      <c r="A16">
        <f t="shared" si="0"/>
        <v>0.76149914821124143</v>
      </c>
      <c r="B16">
        <v>220.22636484687001</v>
      </c>
      <c r="C16">
        <v>100.931557922769</v>
      </c>
      <c r="D16">
        <f t="shared" si="1"/>
        <v>0.99077039984380499</v>
      </c>
      <c r="E16">
        <f t="shared" si="2"/>
        <v>-9.8059260292687744E-3</v>
      </c>
      <c r="F16">
        <f t="shared" si="3"/>
        <v>-4.1114846994147983E-2</v>
      </c>
      <c r="G16">
        <f t="shared" si="4"/>
        <v>0.23850085178875857</v>
      </c>
    </row>
    <row r="17" spans="1:7" x14ac:dyDescent="0.2">
      <c r="A17">
        <f t="shared" si="0"/>
        <v>0.7964915511763897</v>
      </c>
      <c r="B17">
        <v>230.34620505992001</v>
      </c>
      <c r="C17">
        <v>100.48019783146199</v>
      </c>
      <c r="D17">
        <f t="shared" si="1"/>
        <v>0.99522097048149283</v>
      </c>
      <c r="E17">
        <f t="shared" si="2"/>
        <v>-5.3553553915809404E-3</v>
      </c>
      <c r="F17">
        <f t="shared" si="3"/>
        <v>-2.6315150169625941E-2</v>
      </c>
      <c r="G17">
        <f t="shared" si="4"/>
        <v>0.2035084488236103</v>
      </c>
    </row>
    <row r="18" spans="1:7" x14ac:dyDescent="0.2">
      <c r="A18">
        <f t="shared" si="0"/>
        <v>0.83240480685114382</v>
      </c>
      <c r="B18">
        <v>240.732356857523</v>
      </c>
      <c r="C18">
        <v>101.400418489632</v>
      </c>
      <c r="D18">
        <f t="shared" si="1"/>
        <v>0.98618922376760032</v>
      </c>
      <c r="E18">
        <f t="shared" si="2"/>
        <v>-1.4387102105473448E-2</v>
      </c>
      <c r="F18">
        <f t="shared" si="3"/>
        <v>-8.5844360062850872E-2</v>
      </c>
      <c r="G18">
        <f t="shared" si="4"/>
        <v>0.16759519314885618</v>
      </c>
    </row>
    <row r="19" spans="1:7" x14ac:dyDescent="0.2">
      <c r="A19">
        <f t="shared" si="0"/>
        <v>0.89686449652378086</v>
      </c>
      <c r="B19">
        <v>259.37416777629801</v>
      </c>
      <c r="C19">
        <v>101.639642381586</v>
      </c>
      <c r="D19">
        <f t="shared" si="1"/>
        <v>0.98386808194945941</v>
      </c>
      <c r="E19">
        <f t="shared" si="2"/>
        <v>-1.6708243923614363E-2</v>
      </c>
      <c r="F19">
        <f t="shared" si="3"/>
        <v>-0.16200283472186597</v>
      </c>
      <c r="G19">
        <f t="shared" si="4"/>
        <v>0.10313550347621914</v>
      </c>
    </row>
    <row r="20" spans="1:7" x14ac:dyDescent="0.2">
      <c r="A20">
        <f t="shared" si="0"/>
        <v>0.93830286845619115</v>
      </c>
      <c r="B20">
        <v>271.35818908122502</v>
      </c>
      <c r="C20">
        <v>101.760776108046</v>
      </c>
      <c r="D20">
        <f t="shared" si="1"/>
        <v>0.98269690763584128</v>
      </c>
      <c r="E20">
        <f t="shared" si="2"/>
        <v>-1.7879418237232492E-2</v>
      </c>
      <c r="F20">
        <f t="shared" si="3"/>
        <v>-0.28979334678690821</v>
      </c>
      <c r="G20">
        <f t="shared" si="4"/>
        <v>6.1697131543808847E-2</v>
      </c>
    </row>
    <row r="21" spans="1:7" x14ac:dyDescent="0.2">
      <c r="A21">
        <f t="shared" si="0"/>
        <v>0.9714535660021173</v>
      </c>
      <c r="B21">
        <v>280.94540612516602</v>
      </c>
      <c r="C21">
        <v>101.766254517785</v>
      </c>
      <c r="D21">
        <f t="shared" si="1"/>
        <v>0.98264400585288003</v>
      </c>
      <c r="E21">
        <f t="shared" si="2"/>
        <v>-1.7932320020193737E-2</v>
      </c>
      <c r="F21">
        <f t="shared" si="3"/>
        <v>-0.62818073954609466</v>
      </c>
      <c r="G21">
        <f t="shared" si="4"/>
        <v>2.8546433997882703E-2</v>
      </c>
    </row>
    <row r="22" spans="1:7" x14ac:dyDescent="0.2">
      <c r="A22">
        <f t="shared" si="0"/>
        <v>1</v>
      </c>
      <c r="B22">
        <v>289.20106524633798</v>
      </c>
      <c r="C22">
        <v>99.942400608712106</v>
      </c>
      <c r="D22">
        <f t="shared" si="1"/>
        <v>1.0005763258730738</v>
      </c>
      <c r="E22">
        <f t="shared" si="2"/>
        <v>0</v>
      </c>
      <c r="F22">
        <f t="shared" si="3"/>
        <v>0</v>
      </c>
      <c r="G22">
        <f t="shared" si="4"/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1051-F995-914C-8EAE-FF988C233AE2}">
  <dimension ref="A1:E19"/>
  <sheetViews>
    <sheetView workbookViewId="0">
      <selection activeCell="C2" sqref="C2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10</v>
      </c>
      <c r="C1" t="s">
        <v>7</v>
      </c>
      <c r="D1" t="s">
        <v>8</v>
      </c>
      <c r="E1" t="s">
        <v>9</v>
      </c>
    </row>
    <row r="2" spans="1:5" x14ac:dyDescent="0.2">
      <c r="A2">
        <v>89.950509289999999</v>
      </c>
      <c r="B2">
        <v>44.195458700000003</v>
      </c>
      <c r="C2">
        <v>3183.3026220000002</v>
      </c>
      <c r="D2">
        <v>15.954778989999999</v>
      </c>
      <c r="E2">
        <v>199.52032080000001</v>
      </c>
    </row>
    <row r="3" spans="1:5" x14ac:dyDescent="0.2">
      <c r="A3">
        <v>100.6070861</v>
      </c>
      <c r="B3">
        <v>53.465026559999998</v>
      </c>
      <c r="C3">
        <v>2223.2353069999999</v>
      </c>
      <c r="D3">
        <v>11.77163631</v>
      </c>
      <c r="E3">
        <v>188.863744</v>
      </c>
    </row>
    <row r="4" spans="1:5" x14ac:dyDescent="0.2">
      <c r="A4">
        <v>110.9870224</v>
      </c>
      <c r="B4">
        <v>61.411119759999998</v>
      </c>
      <c r="C4">
        <v>1537.0401039999999</v>
      </c>
      <c r="D4">
        <v>8.6116501220000004</v>
      </c>
      <c r="E4">
        <v>178.4838077</v>
      </c>
    </row>
    <row r="5" spans="1:5" x14ac:dyDescent="0.2">
      <c r="A5">
        <v>119.6889276</v>
      </c>
      <c r="B5">
        <v>66.589286319999999</v>
      </c>
      <c r="C5">
        <v>1157.832406</v>
      </c>
      <c r="D5">
        <v>6.8195278129999997</v>
      </c>
      <c r="E5">
        <v>169.7819025</v>
      </c>
    </row>
    <row r="6" spans="1:5" x14ac:dyDescent="0.2">
      <c r="A6">
        <v>137.67478259999999</v>
      </c>
      <c r="B6">
        <v>71.412134949999995</v>
      </c>
      <c r="C6">
        <v>852.87874720000002</v>
      </c>
      <c r="D6">
        <v>5.618583364</v>
      </c>
      <c r="E6">
        <v>151.79604749999999</v>
      </c>
    </row>
    <row r="7" spans="1:5" x14ac:dyDescent="0.2">
      <c r="A7">
        <v>156.2164563</v>
      </c>
      <c r="B7">
        <v>78.160129940000004</v>
      </c>
      <c r="C7">
        <v>504.27610650000003</v>
      </c>
      <c r="D7">
        <v>3.7843118549999999</v>
      </c>
      <c r="E7">
        <v>133.2543738</v>
      </c>
    </row>
    <row r="8" spans="1:5" x14ac:dyDescent="0.2">
      <c r="A8">
        <v>170.2595513</v>
      </c>
      <c r="B8">
        <v>84.303915270000005</v>
      </c>
      <c r="C8">
        <v>266.09137700000002</v>
      </c>
      <c r="D8">
        <v>2.2320990059999999</v>
      </c>
      <c r="E8">
        <v>119.2112788</v>
      </c>
    </row>
    <row r="9" spans="1:5" x14ac:dyDescent="0.2">
      <c r="A9">
        <v>180.65090860000001</v>
      </c>
      <c r="B9">
        <v>89.00189503</v>
      </c>
      <c r="C9">
        <v>134.89260949999999</v>
      </c>
      <c r="D9">
        <v>1.239594807</v>
      </c>
      <c r="E9">
        <v>108.81992150000001</v>
      </c>
    </row>
    <row r="10" spans="1:5" x14ac:dyDescent="0.2">
      <c r="A10">
        <v>192.18435919999999</v>
      </c>
      <c r="B10">
        <v>88.888531689999994</v>
      </c>
      <c r="C10">
        <v>137.5387388</v>
      </c>
      <c r="D10">
        <v>1.413749903</v>
      </c>
      <c r="E10">
        <v>97.286470899999998</v>
      </c>
    </row>
    <row r="11" spans="1:5" x14ac:dyDescent="0.2">
      <c r="A11">
        <v>200.3418666</v>
      </c>
      <c r="B11">
        <v>88.893438459999999</v>
      </c>
      <c r="C11">
        <v>137.4236727</v>
      </c>
      <c r="D11">
        <v>1.5418520229999999</v>
      </c>
      <c r="E11">
        <v>89.128963499999998</v>
      </c>
    </row>
    <row r="12" spans="1:5" x14ac:dyDescent="0.2">
      <c r="A12">
        <v>209.88765190000001</v>
      </c>
      <c r="B12">
        <v>94.072112619999999</v>
      </c>
      <c r="C12">
        <v>42.825378049999998</v>
      </c>
      <c r="D12">
        <v>0.538120983</v>
      </c>
      <c r="E12">
        <v>79.583178200000006</v>
      </c>
    </row>
    <row r="13" spans="1:5" x14ac:dyDescent="0.2">
      <c r="A13">
        <v>219.73313089999999</v>
      </c>
      <c r="B13">
        <v>94.017884339999995</v>
      </c>
      <c r="C13">
        <v>43.538070429999998</v>
      </c>
      <c r="D13">
        <v>0.62431182699999999</v>
      </c>
      <c r="E13">
        <v>69.737699199999994</v>
      </c>
    </row>
    <row r="14" spans="1:5" x14ac:dyDescent="0.2">
      <c r="A14">
        <v>230.40176310000001</v>
      </c>
      <c r="B14">
        <v>99.858888019999995</v>
      </c>
      <c r="C14">
        <v>0.57355596900000005</v>
      </c>
      <c r="D14">
        <v>9.7099209999999998E-3</v>
      </c>
      <c r="E14">
        <v>59.069066999999997</v>
      </c>
    </row>
    <row r="15" spans="1:5" x14ac:dyDescent="0.2">
      <c r="A15">
        <v>241.9356367</v>
      </c>
      <c r="B15">
        <v>99.625224189999997</v>
      </c>
      <c r="C15">
        <v>0.98207824499999996</v>
      </c>
      <c r="D15">
        <v>2.0660023999999999E-2</v>
      </c>
      <c r="E15">
        <v>47.535193399999997</v>
      </c>
    </row>
    <row r="16" spans="1:5" x14ac:dyDescent="0.2">
      <c r="A16">
        <v>258.81112309999997</v>
      </c>
      <c r="B16">
        <v>100.2368786</v>
      </c>
      <c r="C16">
        <v>0.14390202199999999</v>
      </c>
      <c r="D16">
        <v>4.6935220000000003E-3</v>
      </c>
      <c r="E16">
        <v>30.659707000000001</v>
      </c>
    </row>
    <row r="17" spans="1:5" x14ac:dyDescent="0.2">
      <c r="A17">
        <v>269.78367909999997</v>
      </c>
      <c r="B17">
        <v>99.64197489</v>
      </c>
      <c r="C17">
        <v>0.94915899000000004</v>
      </c>
      <c r="D17">
        <v>4.8212104999999998E-2</v>
      </c>
      <c r="E17">
        <v>19.687151</v>
      </c>
    </row>
    <row r="18" spans="1:5" x14ac:dyDescent="0.2">
      <c r="A18">
        <v>279.46461199999999</v>
      </c>
      <c r="B18">
        <v>100</v>
      </c>
      <c r="C18">
        <v>0.37973053899999998</v>
      </c>
      <c r="D18">
        <v>3.7949456999999999E-2</v>
      </c>
      <c r="E18">
        <v>10.0062181</v>
      </c>
    </row>
    <row r="19" spans="1:5" x14ac:dyDescent="0.2">
      <c r="A19">
        <v>289.4708301</v>
      </c>
      <c r="B19">
        <v>100.6162228</v>
      </c>
      <c r="C19">
        <v>0</v>
      </c>
      <c r="E19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258CC-0796-9B4C-A063-C58FA61FB692}">
  <dimension ref="A1:E17"/>
  <sheetViews>
    <sheetView workbookViewId="0">
      <selection activeCell="A2" sqref="A2:B17"/>
    </sheetView>
  </sheetViews>
  <sheetFormatPr baseColWidth="10" defaultColWidth="11" defaultRowHeight="16" x14ac:dyDescent="0.2"/>
  <sheetData>
    <row r="1" spans="1:5" x14ac:dyDescent="0.2">
      <c r="A1" t="s">
        <v>1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89.975889140000007</v>
      </c>
      <c r="B2">
        <v>36.977428850000003</v>
      </c>
      <c r="C2">
        <v>4034.6205049999999</v>
      </c>
      <c r="D2">
        <v>20.195655290000001</v>
      </c>
      <c r="E2">
        <v>199.77665730000001</v>
      </c>
    </row>
    <row r="3" spans="1:5" x14ac:dyDescent="0.2">
      <c r="A3">
        <v>100.3452506</v>
      </c>
      <c r="B3">
        <v>47.931034480000001</v>
      </c>
      <c r="C3">
        <v>2763.0852199999999</v>
      </c>
      <c r="D3">
        <v>14.58806118</v>
      </c>
      <c r="E3">
        <v>189.40729590000001</v>
      </c>
    </row>
    <row r="4" spans="1:5" x14ac:dyDescent="0.2">
      <c r="A4">
        <v>113.8223749</v>
      </c>
      <c r="B4">
        <v>55.036885380000001</v>
      </c>
      <c r="C4">
        <v>2066.5394209999999</v>
      </c>
      <c r="D4">
        <v>11.746361650000001</v>
      </c>
      <c r="E4">
        <v>175.93017159999999</v>
      </c>
    </row>
    <row r="5" spans="1:5" x14ac:dyDescent="0.2">
      <c r="A5">
        <v>120.8415959</v>
      </c>
      <c r="B5">
        <v>58.770430779999998</v>
      </c>
      <c r="C5">
        <v>1741.030763</v>
      </c>
      <c r="D5">
        <v>10.307388339999999</v>
      </c>
      <c r="E5">
        <v>168.91095060000001</v>
      </c>
    </row>
    <row r="6" spans="1:5" x14ac:dyDescent="0.2">
      <c r="A6">
        <v>142.47030559999999</v>
      </c>
      <c r="B6">
        <v>67.565395420000002</v>
      </c>
      <c r="C6">
        <v>1084.4307449999999</v>
      </c>
      <c r="D6">
        <v>7.3629430009999997</v>
      </c>
      <c r="E6">
        <v>147.28224090000001</v>
      </c>
    </row>
    <row r="7" spans="1:5" x14ac:dyDescent="0.2">
      <c r="A7">
        <v>164.09901529999999</v>
      </c>
      <c r="B7">
        <v>76.360360060000005</v>
      </c>
      <c r="C7">
        <v>582.53353249999998</v>
      </c>
      <c r="D7">
        <v>4.6360299390000002</v>
      </c>
      <c r="E7">
        <v>125.6535312</v>
      </c>
    </row>
    <row r="8" spans="1:5" x14ac:dyDescent="0.2">
      <c r="A8">
        <v>179.55153799999999</v>
      </c>
      <c r="B8">
        <v>81.662887889999993</v>
      </c>
      <c r="C8">
        <v>354.68955840000001</v>
      </c>
      <c r="D8">
        <v>3.2185690810000001</v>
      </c>
      <c r="E8">
        <v>110.20100840000001</v>
      </c>
    </row>
    <row r="9" spans="1:5" x14ac:dyDescent="0.2">
      <c r="A9">
        <v>200.91502829999999</v>
      </c>
      <c r="B9">
        <v>85.886264420000003</v>
      </c>
      <c r="C9">
        <v>213.44704730000001</v>
      </c>
      <c r="D9">
        <v>2.4026678320000001</v>
      </c>
      <c r="E9">
        <v>88.837518189999997</v>
      </c>
    </row>
    <row r="10" spans="1:5" x14ac:dyDescent="0.2">
      <c r="A10">
        <v>210.18544209999999</v>
      </c>
      <c r="B10">
        <v>89.380562420000004</v>
      </c>
      <c r="C10">
        <v>123.55498679999999</v>
      </c>
      <c r="D10">
        <v>1.5528400570000001</v>
      </c>
      <c r="E10">
        <v>79.567104330000006</v>
      </c>
    </row>
    <row r="11" spans="1:5" x14ac:dyDescent="0.2">
      <c r="A11">
        <v>220.5886434</v>
      </c>
      <c r="B11">
        <v>90.710128249999997</v>
      </c>
      <c r="C11">
        <v>95.765076730000004</v>
      </c>
      <c r="D11">
        <v>1.3846106490000001</v>
      </c>
      <c r="E11">
        <v>69.163903079999997</v>
      </c>
    </row>
    <row r="12" spans="1:5" x14ac:dyDescent="0.2">
      <c r="A12">
        <v>230.14373459999999</v>
      </c>
      <c r="B12">
        <v>93.242191469999995</v>
      </c>
      <c r="C12">
        <v>52.619065749999997</v>
      </c>
      <c r="D12">
        <v>0.88273971699999998</v>
      </c>
      <c r="E12">
        <v>59.608811879999998</v>
      </c>
    </row>
    <row r="13" spans="1:5" x14ac:dyDescent="0.2">
      <c r="A13">
        <v>239.70855470000001</v>
      </c>
      <c r="B13">
        <v>93.007343239999997</v>
      </c>
      <c r="C13">
        <v>56.08135059</v>
      </c>
      <c r="D13">
        <v>1.1206410330000001</v>
      </c>
      <c r="E13">
        <v>50.043991740000003</v>
      </c>
    </row>
    <row r="14" spans="1:5" x14ac:dyDescent="0.2">
      <c r="A14">
        <v>252.6370512</v>
      </c>
      <c r="B14">
        <v>96.142939330000004</v>
      </c>
      <c r="C14">
        <v>18.94993388</v>
      </c>
      <c r="D14">
        <v>0.51056664500000004</v>
      </c>
      <c r="E14">
        <v>37.115495250000002</v>
      </c>
    </row>
    <row r="15" spans="1:5" x14ac:dyDescent="0.2">
      <c r="A15">
        <v>269.78790900000001</v>
      </c>
      <c r="B15">
        <v>98.438969920000005</v>
      </c>
      <c r="C15">
        <v>4.2317492210000003</v>
      </c>
      <c r="D15">
        <v>0.211962238</v>
      </c>
      <c r="E15">
        <v>19.964637410000002</v>
      </c>
    </row>
    <row r="16" spans="1:5" x14ac:dyDescent="0.2">
      <c r="A16">
        <v>280.47747959999998</v>
      </c>
      <c r="B16">
        <v>98.325098980000007</v>
      </c>
      <c r="C16">
        <v>4.713208528</v>
      </c>
      <c r="D16">
        <v>0.50815898299999995</v>
      </c>
      <c r="E16">
        <v>9.2750668340000004</v>
      </c>
    </row>
    <row r="17" spans="1:5" x14ac:dyDescent="0.2">
      <c r="A17">
        <v>289.75254640000003</v>
      </c>
      <c r="B17">
        <v>100.49609150000001</v>
      </c>
      <c r="C17">
        <v>0</v>
      </c>
      <c r="E17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62D93-16FF-6A4F-83BF-87D1C92809BA}">
  <dimension ref="A1:B18"/>
  <sheetViews>
    <sheetView workbookViewId="0"/>
  </sheetViews>
  <sheetFormatPr baseColWidth="10" defaultColWidth="11" defaultRowHeight="16" x14ac:dyDescent="0.2"/>
  <sheetData>
    <row r="1" spans="1:2" x14ac:dyDescent="0.2">
      <c r="A1">
        <v>90.438801725346494</v>
      </c>
      <c r="B1">
        <v>84.5605701145072</v>
      </c>
    </row>
    <row r="2" spans="1:2" x14ac:dyDescent="0.2">
      <c r="A2">
        <v>98.545162893760804</v>
      </c>
      <c r="B2">
        <v>88.349632116644699</v>
      </c>
    </row>
    <row r="3" spans="1:2" x14ac:dyDescent="0.2">
      <c r="A3">
        <v>110.580347144966</v>
      </c>
      <c r="B3">
        <v>95.930086686100097</v>
      </c>
    </row>
    <row r="4" spans="1:2" x14ac:dyDescent="0.2">
      <c r="A4">
        <v>120.761639625434</v>
      </c>
      <c r="B4">
        <v>95.478102701452698</v>
      </c>
    </row>
    <row r="5" spans="1:2" x14ac:dyDescent="0.2">
      <c r="A5">
        <v>130.17530219965201</v>
      </c>
      <c r="B5">
        <v>99.824315441997101</v>
      </c>
    </row>
    <row r="6" spans="1:2" x14ac:dyDescent="0.2">
      <c r="A6">
        <v>140.62206062018501</v>
      </c>
      <c r="B6">
        <v>100.711095493087</v>
      </c>
    </row>
    <row r="7" spans="1:2" x14ac:dyDescent="0.2">
      <c r="A7">
        <v>150.80007574336801</v>
      </c>
      <c r="B7">
        <v>99.254929236393906</v>
      </c>
    </row>
    <row r="8" spans="1:2" x14ac:dyDescent="0.2">
      <c r="A8">
        <v>160.471192939844</v>
      </c>
      <c r="B8">
        <v>102.48523823656301</v>
      </c>
    </row>
    <row r="9" spans="1:2" x14ac:dyDescent="0.2">
      <c r="A9">
        <v>170.65649107921499</v>
      </c>
      <c r="B9">
        <v>103.260588139972</v>
      </c>
    </row>
    <row r="10" spans="1:2" x14ac:dyDescent="0.2">
      <c r="A10">
        <v>182.40290373855399</v>
      </c>
      <c r="B10">
        <v>102.361426961361</v>
      </c>
    </row>
    <row r="11" spans="1:2" x14ac:dyDescent="0.2">
      <c r="A11">
        <v>200.41453107389799</v>
      </c>
      <c r="B11">
        <v>101.124042510965</v>
      </c>
    </row>
    <row r="12" spans="1:2" x14ac:dyDescent="0.2">
      <c r="A12">
        <v>211.12384222802001</v>
      </c>
      <c r="B12">
        <v>102.456980133752</v>
      </c>
    </row>
    <row r="13" spans="1:2" x14ac:dyDescent="0.2">
      <c r="A13">
        <v>230.43694455621801</v>
      </c>
      <c r="B13">
        <v>99.991533493681004</v>
      </c>
    </row>
    <row r="14" spans="1:2" x14ac:dyDescent="0.2">
      <c r="A14">
        <v>240.88843693727301</v>
      </c>
      <c r="B14">
        <v>102.32879904883799</v>
      </c>
    </row>
    <row r="15" spans="1:2" x14ac:dyDescent="0.2">
      <c r="A15">
        <v>250.81118234305501</v>
      </c>
      <c r="B15">
        <v>102.65799138055</v>
      </c>
    </row>
    <row r="16" spans="1:2" x14ac:dyDescent="0.2">
      <c r="A16">
        <v>262.298683776899</v>
      </c>
      <c r="B16">
        <v>102.42843071029399</v>
      </c>
    </row>
    <row r="17" spans="1:2" x14ac:dyDescent="0.2">
      <c r="A17">
        <v>278.48300235059298</v>
      </c>
      <c r="B17">
        <v>101.303641690169</v>
      </c>
    </row>
    <row r="18" spans="1:2" x14ac:dyDescent="0.2">
      <c r="A18">
        <v>289.70649444761</v>
      </c>
      <c r="B18">
        <v>100.18162021619599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D0987-65F8-5440-830D-42041B7FD317}">
  <dimension ref="A1:B14"/>
  <sheetViews>
    <sheetView workbookViewId="0"/>
  </sheetViews>
  <sheetFormatPr baseColWidth="10" defaultColWidth="11" defaultRowHeight="16" x14ac:dyDescent="0.2"/>
  <sheetData>
    <row r="1" spans="1:2" x14ac:dyDescent="0.2">
      <c r="A1">
        <v>90.454824360960799</v>
      </c>
      <c r="B1">
        <v>89.469905666732799</v>
      </c>
    </row>
    <row r="2" spans="1:2" x14ac:dyDescent="0.2">
      <c r="A2">
        <v>100.93253560029299</v>
      </c>
      <c r="B2">
        <v>99.840629398258997</v>
      </c>
    </row>
    <row r="3" spans="1:2" x14ac:dyDescent="0.2">
      <c r="A3">
        <v>112.159669205404</v>
      </c>
      <c r="B3">
        <v>99.834366004336999</v>
      </c>
    </row>
    <row r="4" spans="1:2" x14ac:dyDescent="0.2">
      <c r="A4">
        <v>137.74599752741599</v>
      </c>
      <c r="B4">
        <v>99.485363868592501</v>
      </c>
    </row>
    <row r="5" spans="1:2" x14ac:dyDescent="0.2">
      <c r="A5">
        <v>160.98391727950201</v>
      </c>
      <c r="B5">
        <v>99.583975907782403</v>
      </c>
    </row>
    <row r="6" spans="1:2" x14ac:dyDescent="0.2">
      <c r="A6">
        <v>170.91212494742501</v>
      </c>
      <c r="B6">
        <v>101.586805359571</v>
      </c>
    </row>
    <row r="7" spans="1:2" x14ac:dyDescent="0.2">
      <c r="A7">
        <v>181.08904761817999</v>
      </c>
      <c r="B7">
        <v>99.795911678862595</v>
      </c>
    </row>
    <row r="8" spans="1:2" x14ac:dyDescent="0.2">
      <c r="A8">
        <v>200.67125739453701</v>
      </c>
      <c r="B8">
        <v>99.784987154580193</v>
      </c>
    </row>
    <row r="9" spans="1:2" x14ac:dyDescent="0.2">
      <c r="A9">
        <v>210.32125384406601</v>
      </c>
      <c r="B9">
        <v>96.543899290452103</v>
      </c>
    </row>
    <row r="10" spans="1:2" x14ac:dyDescent="0.2">
      <c r="A10">
        <v>221.299308295537</v>
      </c>
      <c r="B10">
        <v>100.21978322102299</v>
      </c>
    </row>
    <row r="11" spans="1:2" x14ac:dyDescent="0.2">
      <c r="A11">
        <v>244.79577512230901</v>
      </c>
      <c r="B11">
        <v>99.537218943853404</v>
      </c>
    </row>
    <row r="12" spans="1:2" x14ac:dyDescent="0.2">
      <c r="A12">
        <v>261.24592378687697</v>
      </c>
      <c r="B12">
        <v>99.862769767471505</v>
      </c>
    </row>
    <row r="13" spans="1:2" x14ac:dyDescent="0.2">
      <c r="A13">
        <v>280.30557715172102</v>
      </c>
      <c r="B13">
        <v>99.740560755831396</v>
      </c>
    </row>
    <row r="14" spans="1:2" x14ac:dyDescent="0.2">
      <c r="A14">
        <v>289.96686227634302</v>
      </c>
      <c r="B14">
        <v>99.958322939862299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C1098-3140-1445-8A34-58E60970723E}">
  <dimension ref="A1:B16"/>
  <sheetViews>
    <sheetView workbookViewId="0"/>
  </sheetViews>
  <sheetFormatPr baseColWidth="10" defaultColWidth="11" defaultRowHeight="16" x14ac:dyDescent="0.2"/>
  <sheetData>
    <row r="1" spans="1:2" x14ac:dyDescent="0.2">
      <c r="A1">
        <v>90.455552662579606</v>
      </c>
      <c r="B1">
        <v>89.693057282742998</v>
      </c>
    </row>
    <row r="2" spans="1:2" x14ac:dyDescent="0.2">
      <c r="A2">
        <v>100.673624374798</v>
      </c>
      <c r="B2">
        <v>100.51022990661301</v>
      </c>
    </row>
    <row r="3" spans="1:2" x14ac:dyDescent="0.2">
      <c r="A3">
        <v>111.11965449371201</v>
      </c>
      <c r="B3">
        <v>101.17385834169301</v>
      </c>
    </row>
    <row r="4" spans="1:2" x14ac:dyDescent="0.2">
      <c r="A4">
        <v>120.515473678269</v>
      </c>
      <c r="B4">
        <v>100.052856489986</v>
      </c>
    </row>
    <row r="5" spans="1:2" x14ac:dyDescent="0.2">
      <c r="A5">
        <v>131.22259992753399</v>
      </c>
      <c r="B5">
        <v>100.716339264743</v>
      </c>
    </row>
    <row r="6" spans="1:2" x14ac:dyDescent="0.2">
      <c r="A6">
        <v>139.83513072103599</v>
      </c>
      <c r="B6">
        <v>99.595774394007506</v>
      </c>
    </row>
    <row r="7" spans="1:2" x14ac:dyDescent="0.2">
      <c r="A7">
        <v>160.20572699977899</v>
      </c>
      <c r="B7">
        <v>101.146474200825</v>
      </c>
    </row>
    <row r="8" spans="1:2" x14ac:dyDescent="0.2">
      <c r="A8">
        <v>170.906662685284</v>
      </c>
      <c r="B8">
        <v>99.913168239494695</v>
      </c>
    </row>
    <row r="9" spans="1:2" x14ac:dyDescent="0.2">
      <c r="A9">
        <v>182.13525289363301</v>
      </c>
      <c r="B9">
        <v>100.353208077593</v>
      </c>
    </row>
    <row r="10" spans="1:2" x14ac:dyDescent="0.2">
      <c r="A10">
        <v>182.13525289363301</v>
      </c>
      <c r="B10">
        <v>100.353208077593</v>
      </c>
    </row>
    <row r="11" spans="1:2" x14ac:dyDescent="0.2">
      <c r="A11">
        <v>203.54367897921199</v>
      </c>
      <c r="B11">
        <v>99.894960699023898</v>
      </c>
    </row>
    <row r="12" spans="1:2" x14ac:dyDescent="0.2">
      <c r="A12">
        <v>223.908812995814</v>
      </c>
      <c r="B12">
        <v>99.772023385764896</v>
      </c>
    </row>
    <row r="13" spans="1:2" x14ac:dyDescent="0.2">
      <c r="A13">
        <v>250.01879018176501</v>
      </c>
      <c r="B13">
        <v>99.869033161393403</v>
      </c>
    </row>
    <row r="14" spans="1:2" x14ac:dyDescent="0.2">
      <c r="A14">
        <v>262.55286104187098</v>
      </c>
      <c r="B14">
        <v>100.308344697873</v>
      </c>
    </row>
    <row r="15" spans="1:2" x14ac:dyDescent="0.2">
      <c r="A15">
        <v>279.00337385724902</v>
      </c>
      <c r="B15">
        <v>100.745471329496</v>
      </c>
    </row>
    <row r="16" spans="1:2" x14ac:dyDescent="0.2">
      <c r="A16">
        <v>289.96686227634302</v>
      </c>
      <c r="B16">
        <v>99.958322939862299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comd</vt:lpstr>
      <vt:lpstr>xsbench_rank2</vt:lpstr>
      <vt:lpstr>xsbench_rank4</vt:lpstr>
      <vt:lpstr>minimd</vt:lpstr>
      <vt:lpstr>hpccg</vt:lpstr>
      <vt:lpstr>minife</vt:lpstr>
      <vt:lpstr>swfft</vt:lpstr>
      <vt:lpstr>simple_moc</vt:lpstr>
      <vt:lpstr>rsbench</vt:lpstr>
      <vt:lpstr>aspa</vt:lpstr>
      <vt:lpstr>cohmm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Bin Rahim, Imtiaz</cp:lastModifiedBy>
  <cp:revision/>
  <dcterms:created xsi:type="dcterms:W3CDTF">2021-07-13T15:36:02Z</dcterms:created>
  <dcterms:modified xsi:type="dcterms:W3CDTF">2026-03-16T06:13:22Z</dcterms:modified>
  <cp:category/>
  <cp:contentStatus/>
</cp:coreProperties>
</file>